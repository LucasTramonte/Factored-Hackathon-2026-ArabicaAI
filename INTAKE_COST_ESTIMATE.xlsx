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Scenarios" sheetId="3" state="visible" r:id="rId5"/>
    <sheet name="Evidence and prices" sheetId="4" state="visible" r:id="rId6"/>
    <sheet name="Cloudflare candidate" sheetId="5" state="visible" r:id="rId7"/>
  </sheets>
  <definedNames>
    <definedName function="false" hidden="true" localSheetId="1" name="_xlnm._FilterDatabase" vbProcedure="false">Inputs!$A$3:$E$35</definedName>
    <definedName function="false" hidden="true" localSheetId="2" name="_xlnm._FilterDatabase" vbProcedure="false">Scenarios!$A$4:$S$8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0" authorId="0">
      <text>
        <r>
          <rPr>
            <sz val="10"/>
            <rFont val="Arial"/>
            <family val="2"/>
          </rPr>
          <t xml:space="preserve">Leave blank until eligible starts and safe accepted cases are instrumented.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-105</xdr:colOff>
                <xdr:row>2</xdr:row>
                <xdr:rowOff>16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A handoff is not an automated resolution. Leave blank until measured.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-105</xdr:colOff>
                <xdr:row>2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<sst xmlns="http://schemas.openxmlformats.org/spreadsheetml/2006/main" count="247" uniqueCount="209">
  <si>
    <t xml:space="preserve">ArabicaAI | Intake cost sensitivity</t>
  </si>
  <si>
    <t xml:space="preserve">Decision use</t>
  </si>
  <si>
    <t xml:space="preserve">Budget a small synthetic-data demo; validate V1 outcomes before claiming savings or production capacity.</t>
  </si>
  <si>
    <t xml:space="preserve">Observed demand</t>
  </si>
  <si>
    <t xml:space="preserve">4,118 V1 complaints in 2025 (complete calendar year); not logged application starts or production traffic.</t>
  </si>
  <si>
    <t xml:space="preserve">Today</t>
  </si>
  <si>
    <t xml:space="preserve">The demo has no model calls and no deployed cloud service. Model and cloud costs are proposed scenarios.</t>
  </si>
  <si>
    <t xml:space="preserve">Scenarios</t>
  </si>
  <si>
    <t xml:space="preserve">11.3/day V1 complaint proxy, then 100, 900, and 9,000/day stress assumptions.</t>
  </si>
  <si>
    <t xml:space="preserve">Interpretation</t>
  </si>
  <si>
    <t xml:space="preserve">900/day is an all-contact stress case, not V1 demand. Constant VM pricing does not establish capacity.</t>
  </si>
  <si>
    <t xml:space="preserve">Missing outcome</t>
  </si>
  <si>
    <t xml:space="preserve">Safe accepted intake / all eligible starts and safe automated resolution are unmeasured.</t>
  </si>
  <si>
    <t xml:space="preserve">Important limit</t>
  </si>
  <si>
    <t xml:space="preserve">Lightsail VM self-hosts PostgreSQL in the $24 scenario; managed DB is a separate $30 add-on.</t>
  </si>
  <si>
    <t xml:space="preserve">Editing</t>
  </si>
  <si>
    <t xml:space="preserve">Change pale-yellow values on Inputs. Blue-green cells on Scenarios recalculate in Excel/LibreOffice.</t>
  </si>
  <si>
    <t xml:space="preserve">Cloudflare candidate</t>
  </si>
  <si>
    <t xml:space="preserve">Worker + D1 may have $0 fixed cloud cost inside Free limits; a code migration and CPU/D1 checks are required. See its separate sheet.</t>
  </si>
  <si>
    <t xml:space="preserve">Not in estimate</t>
  </si>
  <si>
    <t xml:space="preserve">Taxes, exchange rates, domain, paid logs, egress overages, S3 transfer, model tools/audio, labor, support, HA, security operations.</t>
  </si>
  <si>
    <t xml:space="preserve">Reviewed</t>
  </si>
  <si>
    <t xml:space="preserve">2026-09-29; prices should be rechecked before spending. No credits assumed.</t>
  </si>
  <si>
    <t xml:space="preserve">Editable inputs | yellow = change with evidence</t>
  </si>
  <si>
    <t xml:space="preserve">Parameter</t>
  </si>
  <si>
    <t xml:space="preserve">Value</t>
  </si>
  <si>
    <t xml:space="preserve">Unit</t>
  </si>
  <si>
    <t xml:space="preserve">Definition or source</t>
  </si>
  <si>
    <t xml:space="preserve">Evidence status</t>
  </si>
  <si>
    <t xml:space="preserve">V1 complaints, complete 2025</t>
  </si>
  <si>
    <t xml:space="preserve">complaints/year</t>
  </si>
  <si>
    <t xml:space="preserve">Silver aggregate: Cargo no reconocido by creation_date</t>
  </si>
  <si>
    <t xml:space="preserve">observed synthetic</t>
  </si>
  <si>
    <t xml:space="preserve">Calendar days in 2025</t>
  </si>
  <si>
    <t xml:space="preserve">days</t>
  </si>
  <si>
    <t xml:space="preserve">Calendar fact</t>
  </si>
  <si>
    <t xml:space="preserve">fact</t>
  </si>
  <si>
    <t xml:space="preserve">Modeled days per month</t>
  </si>
  <si>
    <t xml:space="preserve">Comparable 30-day month</t>
  </si>
  <si>
    <t xml:space="preserve">assumption</t>
  </si>
  <si>
    <t xml:space="preserve">Current HTTP requests per episode</t>
  </si>
  <si>
    <t xml:space="preserve">requests</t>
  </si>
  <si>
    <t xml:space="preserve">POST session, GET charges, POST case; agent reads excluded</t>
  </si>
  <si>
    <t xml:space="preserve">code-derived</t>
  </si>
  <si>
    <t xml:space="preserve">Planned HTTP requests per episode</t>
  </si>
  <si>
    <t xml:space="preserve">Future AI flow; measure from application traces</t>
  </si>
  <si>
    <t xml:space="preserve">Peak-hour fraction</t>
  </si>
  <si>
    <t xml:space="preserve">share of day's requests</t>
  </si>
  <si>
    <t xml:space="preserve">10% of daily traffic in busiest hour</t>
  </si>
  <si>
    <t xml:space="preserve">Within-hour burst multiplier</t>
  </si>
  <si>
    <t xml:space="preserve">factor</t>
  </si>
  <si>
    <t xml:space="preserve">Set &gt;1 to stress minute-level clustering</t>
  </si>
  <si>
    <t xml:space="preserve">Mean request service time</t>
  </si>
  <si>
    <t xml:space="preserve">seconds</t>
  </si>
  <si>
    <t xml:space="preserve">Not measured; not a p95 or capacity test</t>
  </si>
  <si>
    <t xml:space="preserve">AI input tokens per episode</t>
  </si>
  <si>
    <t xml:space="preserve">tokens</t>
  </si>
  <si>
    <t xml:space="preserve">Total across model calls; no AI is running today</t>
  </si>
  <si>
    <t xml:space="preserve">AI output tokens per episode</t>
  </si>
  <si>
    <t xml:space="preserve">Total across model calls, including billed reasoning output</t>
  </si>
  <si>
    <t xml:space="preserve">Model input rate</t>
  </si>
  <si>
    <t xml:space="preserve">USD / 1M tokens</t>
  </si>
  <si>
    <t xml:space="preserve">OpenAI GPT-5.6 Luna standard text input</t>
  </si>
  <si>
    <t xml:space="preserve">official price</t>
  </si>
  <si>
    <t xml:space="preserve">Model output rate</t>
  </si>
  <si>
    <t xml:space="preserve">OpenAI GPT-5.6 Luna standard text output</t>
  </si>
  <si>
    <t xml:space="preserve">Render paid web</t>
  </si>
  <si>
    <t xml:space="preserve">USD/month</t>
  </si>
  <si>
    <t xml:space="preserve">0.5c-512mb; one worker/instance</t>
  </si>
  <si>
    <t xml:space="preserve">Render Postgres compute</t>
  </si>
  <si>
    <t xml:space="preserve">0.1c-256mb; not load-tested</t>
  </si>
  <si>
    <t xml:space="preserve">Render Postgres allocated storage</t>
  </si>
  <si>
    <t xml:space="preserve">GB</t>
  </si>
  <si>
    <t xml:space="preserve">Model assumption; billed storage allocation</t>
  </si>
  <si>
    <t xml:space="preserve">Render Postgres storage rate</t>
  </si>
  <si>
    <t xml:space="preserve">USD/GB-month</t>
  </si>
  <si>
    <t xml:space="preserve">Published storage rate</t>
  </si>
  <si>
    <t xml:space="preserve">Lightsail Linux VM, public IPv4</t>
  </si>
  <si>
    <t xml:space="preserve">4 GB, 2 vCPU, 80 GB SSD; fixed single VM</t>
  </si>
  <si>
    <t xml:space="preserve">Lightsail billable snapshot size</t>
  </si>
  <si>
    <t xml:space="preserve">GB-month</t>
  </si>
  <si>
    <t xml:space="preserve">Snapshot usage assumption; not backup guarantee</t>
  </si>
  <si>
    <t xml:space="preserve">Lightsail snapshot rate</t>
  </si>
  <si>
    <t xml:space="preserve">Instance/disk snapshots</t>
  </si>
  <si>
    <t xml:space="preserve">Lightsail object bundle</t>
  </si>
  <si>
    <t xml:space="preserve">Optional 5 GB bundle; set 0 if unused</t>
  </si>
  <si>
    <t xml:space="preserve">optional price</t>
  </si>
  <si>
    <t xml:space="preserve">Lightsail managed DB alternative</t>
  </si>
  <si>
    <t xml:space="preserve">2 GB encrypted standard plan; add to VM</t>
  </si>
  <si>
    <t xml:space="preserve">Other monthly costs</t>
  </si>
  <si>
    <t xml:space="preserve">Placeholder only: domain, logs, egress, security, operations</t>
  </si>
  <si>
    <t xml:space="preserve">unknown</t>
  </si>
  <si>
    <t xml:space="preserve">Confirmed AWS monthly credit</t>
  </si>
  <si>
    <t xml:space="preserve">Only if verified for this AWS account; AWS only</t>
  </si>
  <si>
    <t xml:space="preserve">unconfirmed</t>
  </si>
  <si>
    <t xml:space="preserve">Confirmed Render monthly credit</t>
  </si>
  <si>
    <t xml:space="preserve">Only if verified for this Render account</t>
  </si>
  <si>
    <t xml:space="preserve">Confirmed model API monthly credit</t>
  </si>
  <si>
    <t xml:space="preserve">Only if verified with model provider</t>
  </si>
  <si>
    <t xml:space="preserve">Safe accepted-intake rate</t>
  </si>
  <si>
    <t xml:space="preserve">share of eligible starts</t>
  </si>
  <si>
    <t xml:space="preserve">Blank until start-to-acceptance events exist</t>
  </si>
  <si>
    <t xml:space="preserve">not measured</t>
  </si>
  <si>
    <t xml:space="preserve">Safe automated-resolution rate</t>
  </si>
  <si>
    <t xml:space="preserve">Blank; a handoff does not count as resolution</t>
  </si>
  <si>
    <t xml:space="preserve">Agent minutes saved per accepted case</t>
  </si>
  <si>
    <t xml:space="preserve">minutes</t>
  </si>
  <si>
    <t xml:space="preserve">Blank: no causal comparison or time study</t>
  </si>
  <si>
    <t xml:space="preserve">Loaded agent cost per minute</t>
  </si>
  <si>
    <t xml:space="preserve">USD/minute</t>
  </si>
  <si>
    <t xml:space="preserve">Blank: no approved labor-cost assumption</t>
  </si>
  <si>
    <t xml:space="preserve">Illustrative model</t>
  </si>
  <si>
    <t xml:space="preserve">gpt-5.6-luna</t>
  </si>
  <si>
    <t xml:space="preserve">model</t>
  </si>
  <si>
    <t xml:space="preserve">Not implemented or selected for V1</t>
  </si>
  <si>
    <t xml:space="preserve">illustrative</t>
  </si>
  <si>
    <t xml:space="preserve">Eligible starts per complaint proxy</t>
  </si>
  <si>
    <t xml:space="preserve">starts/complaint</t>
  </si>
  <si>
    <t xml:space="preserve">Only for demand illustration; complaint != observed app start</t>
  </si>
  <si>
    <t xml:space="preserve">Volume, token and infrastructure sensitivity</t>
  </si>
  <si>
    <t xml:space="preserve">All totals USD/month, before taxes. Planned AI assumes GPT-5.6 Luna standard text; current demo uses no AI.</t>
  </si>
  <si>
    <t xml:space="preserve">Scenario</t>
  </si>
  <si>
    <t xml:space="preserve">Episodes/day</t>
  </si>
  <si>
    <t xml:space="preserve">Episodes/month</t>
  </si>
  <si>
    <t xml:space="preserve">Current HTTP req/month</t>
  </si>
  <si>
    <t xml:space="preserve">Planned HTTP req/month</t>
  </si>
  <si>
    <t xml:space="preserve">Peak planned req/hour</t>
  </si>
  <si>
    <t xml:space="preserve">Peak req/s</t>
  </si>
  <si>
    <t xml:space="preserve">Mean in-flight req</t>
  </si>
  <si>
    <t xml:space="preserve">AI USD/episode</t>
  </si>
  <si>
    <t xml:space="preserve">AI USD/month</t>
  </si>
  <si>
    <t xml:space="preserve">Render fixed USD/month</t>
  </si>
  <si>
    <t xml:space="preserve">AWS single VM fixed</t>
  </si>
  <si>
    <t xml:space="preserve">AWS + managed DB fixed</t>
  </si>
  <si>
    <t xml:space="preserve">Render + AI USD/month</t>
  </si>
  <si>
    <t xml:space="preserve">AWS single VM + AI</t>
  </si>
  <si>
    <t xml:space="preserve">AWS managed DB + AI</t>
  </si>
  <si>
    <t xml:space="preserve">Cost / safe auto resolution</t>
  </si>
  <si>
    <t xml:space="preserve">Render + AI / attempt</t>
  </si>
  <si>
    <t xml:space="preserve">Render without AI / attempt</t>
  </si>
  <si>
    <t xml:space="preserve">2025 V1 complaint proxy</t>
  </si>
  <si>
    <t xml:space="preserve">100/day test</t>
  </si>
  <si>
    <t xml:space="preserve">900/day all-contact stress</t>
  </si>
  <si>
    <t xml:space="preserve">9,000/day stress</t>
  </si>
  <si>
    <t xml:space="preserve">Current demo cloud spend</t>
  </si>
  <si>
    <t xml:space="preserve">Not deployed: $0 actual cloud bill. Render fixed cost is hypothetical if deployed.</t>
  </si>
  <si>
    <t xml:space="preserve">Capacity warning</t>
  </si>
  <si>
    <t xml:space="preserve">Peak req/s and in-flight values are arithmetic from assumptions, not a benchmark or a latency guarantee.</t>
  </si>
  <si>
    <t xml:space="preserve">Success warning</t>
  </si>
  <si>
    <t xml:space="preserve">Cost per safe automated resolution is not defined until numerator and eligible-start denominator are observed.</t>
  </si>
  <si>
    <t xml:space="preserve">Sources, scope and pricing basis</t>
  </si>
  <si>
    <t xml:space="preserve">Item</t>
  </si>
  <si>
    <t xml:space="preserve">Evidence</t>
  </si>
  <si>
    <t xml:space="preserve">Source URL or repo path</t>
  </si>
  <si>
    <t xml:space="preserve">V1 demand</t>
  </si>
  <si>
    <t xml:space="preserve">4,118 complaints in 2025; 12,297 all dates; 6,192 via Call Center all dates</t>
  </si>
  <si>
    <t xml:space="preserve">data_foundation/reports/aggregates.json</t>
  </si>
  <si>
    <t xml:space="preserve">Synthetic complaints, not app starts or forecast</t>
  </si>
  <si>
    <t xml:space="preserve">Actual application</t>
  </si>
  <si>
    <t xml:space="preserve">FastAPI intake; 3 customer HTTP calls in normal path; no AI SDK or model call</t>
  </si>
  <si>
    <t xml:space="preserve">demo_api.py; demo-ui/src/app/app.ts</t>
  </si>
  <si>
    <t xml:space="preserve">No measured tokens, p95 or production throughput</t>
  </si>
  <si>
    <t xml:space="preserve">Hackathon metric</t>
  </si>
  <si>
    <t xml:space="preserve">Cost per attempt and successful automated resolution, with denominator</t>
  </si>
  <si>
    <t xml:space="preserve">Docs/FACTORED_HACKATHON_2026.md</t>
  </si>
  <si>
    <t xml:space="preserve">Handoff is not automated resolution</t>
  </si>
  <si>
    <t xml:space="preserve">OpenAI model</t>
  </si>
  <si>
    <t xml:space="preserve">GPT-5.6 Luna standard: $0.20 input, $1.20 output per million text tokens</t>
  </si>
  <si>
    <t xml:space="preserve">https://developers.openai.com/api/docs/models/gpt-5.6-luna</t>
  </si>
  <si>
    <t xml:space="preserve">Illustrative provider/model; no cache, tool, audio or batch discount</t>
  </si>
  <si>
    <t xml:space="preserve">AWS Lightsail</t>
  </si>
  <si>
    <t xml:space="preserve">$24/mo IPv4 Linux VM 4GB; $0.05/GB-month snapshots; $1/mo 5GB object bundle; $30/mo 2GB encrypted managed DB</t>
  </si>
  <si>
    <t xml:space="preserve">https://aws.amazon.com/lightsail/pricing/</t>
  </si>
  <si>
    <t xml:space="preserve">VM alone means self-managed PostgreSQL; capacity untested</t>
  </si>
  <si>
    <t xml:space="preserve">Render</t>
  </si>
  <si>
    <t xml:space="preserve">$7/mo web, $6/mo Postgres, $0.30/GB-month allocated Postgres storage</t>
  </si>
  <si>
    <t xml:space="preserve">https://render.com/pricing</t>
  </si>
  <si>
    <t xml:space="preserve">Paid proposed deployment; job, egress, taxes extra</t>
  </si>
  <si>
    <t xml:space="preserve">AWS credits</t>
  </si>
  <si>
    <t xml:space="preserve">Up to $200 for eligible new accounts; workbook assumes zero</t>
  </si>
  <si>
    <t xml:space="preserve">https://aws.amazon.com/free/</t>
  </si>
  <si>
    <t xml:space="preserve">AWS credits cannot reduce separate OpenAI bill</t>
  </si>
  <si>
    <t xml:space="preserve">Official AWS calculator</t>
  </si>
  <si>
    <t xml:space="preserve">Use for region and service-specific quote before purchase</t>
  </si>
  <si>
    <t xml:space="preserve">https://calculator.aws/</t>
  </si>
  <si>
    <t xml:space="preserve">This workbook is not a calculator export</t>
  </si>
  <si>
    <t xml:space="preserve">Cloudflare Workers Free</t>
  </si>
  <si>
    <t xml:space="preserve">100,000 requests/day, 10 ms CPU/request</t>
  </si>
  <si>
    <t xml:space="preserve">https://developers.cloudflare.com/workers/platform/pricing/</t>
  </si>
  <si>
    <t xml:space="preserve">Conditional free candidate; this report has no measured CPU usage</t>
  </si>
  <si>
    <t xml:space="preserve">Cloudflare D1 Free</t>
  </si>
  <si>
    <t xml:space="preserve">5M rows read/day, 100k rows written/day, 500 MB per database</t>
  </si>
  <si>
    <t xml:space="preserve">https://developers.cloudflare.com/d1/platform/limits/</t>
  </si>
  <si>
    <t xml:space="preserve">No measured D1 row scans or storage forecast</t>
  </si>
  <si>
    <t xml:space="preserve">Cloudflare Worker + D1 | conditional Free plan</t>
  </si>
  <si>
    <t xml:space="preserve">A connected GitHub repo does not migrate the current PostgreSQL demo. The Worker variant must pass live CPU and D1 checks.</t>
  </si>
  <si>
    <t xml:space="preserve">Planned Worker req/day</t>
  </si>
  <si>
    <t xml:space="preserve">Free req/day cap</t>
  </si>
  <si>
    <t xml:space="preserve">Request headroom</t>
  </si>
  <si>
    <t xml:space="preserve">Request-cap check</t>
  </si>
  <si>
    <t xml:space="preserve">Illustrative AI USD/month</t>
  </si>
  <si>
    <t xml:space="preserve">Potential fixed hosting</t>
  </si>
  <si>
    <t xml:space="preserve">$0 only while Worker and D1 stay inside Free quotas; not a capacity promise.</t>
  </si>
  <si>
    <t xml:space="preserve">Still unmeasured</t>
  </si>
  <si>
    <t xml:space="preserve">CPU ms/request (Free: 10 ms); D1 rows read/write, DB size, retries, static requests, peak traffic.</t>
  </si>
  <si>
    <t xml:space="preserve">Model charges</t>
  </si>
  <si>
    <t xml:space="preserve">AI usage in column G is hypothetical and billed separately from Cloudflare. Current demo uses no model.</t>
  </si>
  <si>
    <t xml:space="preserve">Readiness</t>
  </si>
  <si>
    <t xml:space="preserve">The 9,000/day scenario has only 10,000 requests/day headroom under the assumed 10 calls/episode.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</si>
</sst>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.00"/>
    <numFmt numFmtId="167" formatCode="#,##0.00"/>
    <numFmt numFmtId="168" formatCode="\$#,##0.00;[RED]&quot;($&quot;#,##0.00\)"/>
    <numFmt numFmtId="169" formatCode="\$#,##0.0000;[RED]&quot;($&quot;#,##0.0000\)"/>
    <numFmt numFmtId="170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ptos Display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7343B"/>
      <name val="Cambria"/>
      <family val="0"/>
      <charset val="1"/>
    </font>
    <font>
      <sz val="10"/>
      <name val="Arial"/>
      <family val="2"/>
    </font>
    <font>
      <i val="true"/>
      <sz val="11"/>
      <color rgb="FF17343B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u val="single"/>
      <sz val="11"/>
      <color rgb="FF0563C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43B"/>
        <bgColor rgb="FF003366"/>
      </patternFill>
    </fill>
    <fill>
      <patternFill patternType="solid">
        <fgColor rgb="FF147D76"/>
        <bgColor rgb="FF008080"/>
      </patternFill>
    </fill>
    <fill>
      <patternFill patternType="solid">
        <fgColor rgb="FFFFF0C2"/>
        <bgColor rgb="FFFFFF99"/>
      </patternFill>
    </fill>
    <fill>
      <patternFill patternType="solid">
        <fgColor rgb="FFEAF4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5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47D7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17343B"/>
          <bgColor rgb="FF000000"/>
        </patternFill>
      </fill>
    </dxf>
    <dxf>
      <fill>
        <patternFill patternType="solid">
          <fgColor rgb="FFEAF4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7D76"/>
      <rgbColor rgb="FFC0C0C0"/>
      <rgbColor rgb="FF878787"/>
      <rgbColor rgb="FF9999FF"/>
      <rgbColor rgb="FFBE4B48"/>
      <rgbColor rgb="FFFFF0C2"/>
      <rgbColor rgb="FFEAF4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Illustrative monthly cost by daily episodes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Scenarios!N4</c:f>
              <c:strCache>
                <c:ptCount val="1"/>
                <c:pt idx="0">
                  <c:v>Render + AI USD/month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Scenarios!$A$5:$A$8</c:f>
              <c:strCache>
                <c:ptCount val="4"/>
                <c:pt idx="0">
                  <c:v>2025 V1 complaint proxy</c:v>
                </c:pt>
                <c:pt idx="1">
                  <c:v>100/day test</c:v>
                </c:pt>
                <c:pt idx="2">
                  <c:v>900/day all-contact stress</c:v>
                </c:pt>
                <c:pt idx="3">
                  <c:v>9,000/day stress</c:v>
                </c:pt>
              </c:strCache>
            </c:strRef>
          </c:cat>
          <c:val>
            <c:numRef>
              <c:f>Scenarios!$N$5:$N$8</c:f>
              <c:numCache>
                <c:formatCode>\$#,##0.00;[RED]"($"#,##0.00\)</c:formatCode>
                <c:ptCount val="4"/>
                <c:pt idx="0">
                  <c:v>14.9246356164384</c:v>
                </c:pt>
                <c:pt idx="1">
                  <c:v>27.7</c:v>
                </c:pt>
                <c:pt idx="2">
                  <c:v>142.9</c:v>
                </c:pt>
                <c:pt idx="3">
                  <c:v>1309.3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Scenarios!O4</c:f>
              <c:strCache>
                <c:ptCount val="1"/>
                <c:pt idx="0">
                  <c:v>AWS single VM + AI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Scenarios!$A$5:$A$8</c:f>
              <c:strCache>
                <c:ptCount val="4"/>
                <c:pt idx="0">
                  <c:v>2025 V1 complaint proxy</c:v>
                </c:pt>
                <c:pt idx="1">
                  <c:v>100/day test</c:v>
                </c:pt>
                <c:pt idx="2">
                  <c:v>900/day all-contact stress</c:v>
                </c:pt>
                <c:pt idx="3">
                  <c:v>9,000/day stress</c:v>
                </c:pt>
              </c:strCache>
            </c:strRef>
          </c:cat>
          <c:val>
            <c:numRef>
              <c:f>Scenarios!$O$5:$O$8</c:f>
              <c:numCache>
                <c:formatCode>\$#,##0.00;[RED]"($"#,##0.00\)</c:formatCode>
                <c:ptCount val="4"/>
                <c:pt idx="0">
                  <c:v>27.6246356164384</c:v>
                </c:pt>
                <c:pt idx="1">
                  <c:v>40.4</c:v>
                </c:pt>
                <c:pt idx="2">
                  <c:v>155.6</c:v>
                </c:pt>
                <c:pt idx="3">
                  <c:v>1322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Scenarios!P4</c:f>
              <c:strCache>
                <c:ptCount val="1"/>
                <c:pt idx="0">
                  <c:v>AWS managed DB + AI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Scenarios!$A$5:$A$8</c:f>
              <c:strCache>
                <c:ptCount val="4"/>
                <c:pt idx="0">
                  <c:v>2025 V1 complaint proxy</c:v>
                </c:pt>
                <c:pt idx="1">
                  <c:v>100/day test</c:v>
                </c:pt>
                <c:pt idx="2">
                  <c:v>900/day all-contact stress</c:v>
                </c:pt>
                <c:pt idx="3">
                  <c:v>9,000/day stress</c:v>
                </c:pt>
              </c:strCache>
            </c:strRef>
          </c:cat>
          <c:val>
            <c:numRef>
              <c:f>Scenarios!$P$5:$P$8</c:f>
              <c:numCache>
                <c:formatCode>\$#,##0.00;[RED]"($"#,##0.00\)</c:formatCode>
                <c:ptCount val="4"/>
                <c:pt idx="0">
                  <c:v>57.6246356164384</c:v>
                </c:pt>
                <c:pt idx="1">
                  <c:v>70.4</c:v>
                </c:pt>
                <c:pt idx="2">
                  <c:v>185.6</c:v>
                </c:pt>
                <c:pt idx="3">
                  <c:v>1352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581119"/>
        <c:axId val="59633388"/>
      </c:lineChart>
      <c:catAx>
        <c:axId val="105811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33388"/>
        <c:crosses val="autoZero"/>
        <c:auto val="1"/>
        <c:lblAlgn val="ctr"/>
        <c:lblOffset val="100"/>
        <c:noMultiLvlLbl val="0"/>
      </c:catAx>
      <c:valAx>
        <c:axId val="59633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USD/month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[RED]&quot;($&quot;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811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4</xdr:col>
      <xdr:colOff>518760</xdr:colOff>
      <xdr:row>32</xdr:row>
      <xdr:rowOff>170640</xdr:rowOff>
    </xdr:to>
    <xdr:graphicFrame>
      <xdr:nvGraphicFramePr>
        <xdr:cNvPr id="0" name="Chart 1"/>
        <xdr:cNvGraphicFramePr/>
      </xdr:nvGraphicFramePr>
      <xdr:xfrm>
        <a:off x="0" y="4371840"/>
        <a:ext cx="82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evelopers.openai.com/api/docs/models/gpt-5.6-luna" TargetMode="External"/><Relationship Id="rId2" Type="http://schemas.openxmlformats.org/officeDocument/2006/relationships/hyperlink" Target="https://aws.amazon.com/lightsail/pricing/" TargetMode="External"/><Relationship Id="rId3" Type="http://schemas.openxmlformats.org/officeDocument/2006/relationships/hyperlink" Target="https://render.com/pricing" TargetMode="External"/><Relationship Id="rId4" Type="http://schemas.openxmlformats.org/officeDocument/2006/relationships/hyperlink" Target="https://aws.amazon.com/free/" TargetMode="External"/><Relationship Id="rId5" Type="http://schemas.openxmlformats.org/officeDocument/2006/relationships/hyperlink" Target="https://calculator.aws/" TargetMode="External"/><Relationship Id="rId6" Type="http://schemas.openxmlformats.org/officeDocument/2006/relationships/hyperlink" Target="https://developers.cloudflare.com/workers/platform/pricing/" TargetMode="External"/><Relationship Id="rId7" Type="http://schemas.openxmlformats.org/officeDocument/2006/relationships/hyperlink" Target="https://developers.cloudflare.com/d1/platform/limit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5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31.5" hidden="false" customHeight="true" outlineLevel="0" collapsed="false">
      <c r="A3" s="0" t="s">
        <v>1</v>
      </c>
      <c r="B3" s="2" t="s">
        <v>2</v>
      </c>
    </row>
    <row r="4" customFormat="false" ht="21.75" hidden="false" customHeight="true" outlineLevel="0" collapsed="false">
      <c r="B4" s="2"/>
    </row>
    <row r="5" customFormat="false" ht="31.5" hidden="false" customHeight="true" outlineLevel="0" collapsed="false">
      <c r="A5" s="0" t="s">
        <v>3</v>
      </c>
      <c r="B5" s="2" t="s">
        <v>4</v>
      </c>
    </row>
    <row r="6" customFormat="false" ht="31.5" hidden="false" customHeight="true" outlineLevel="0" collapsed="false">
      <c r="A6" s="0" t="s">
        <v>5</v>
      </c>
      <c r="B6" s="2" t="s">
        <v>6</v>
      </c>
    </row>
    <row r="7" customFormat="false" ht="31.5" hidden="false" customHeight="true" outlineLevel="0" collapsed="false">
      <c r="A7" s="0" t="s">
        <v>7</v>
      </c>
      <c r="B7" s="2" t="s">
        <v>8</v>
      </c>
    </row>
    <row r="8" customFormat="false" ht="31.5" hidden="false" customHeight="true" outlineLevel="0" collapsed="false">
      <c r="A8" s="0" t="s">
        <v>9</v>
      </c>
      <c r="B8" s="2" t="s">
        <v>10</v>
      </c>
    </row>
    <row r="9" customFormat="false" ht="31.5" hidden="false" customHeight="true" outlineLevel="0" collapsed="false">
      <c r="A9" s="0" t="s">
        <v>11</v>
      </c>
      <c r="B9" s="2" t="s">
        <v>12</v>
      </c>
    </row>
    <row r="10" customFormat="false" ht="31.5" hidden="false" customHeight="true" outlineLevel="0" collapsed="false">
      <c r="A10" s="0" t="s">
        <v>13</v>
      </c>
      <c r="B10" s="2" t="s">
        <v>14</v>
      </c>
    </row>
    <row r="11" customFormat="false" ht="31.5" hidden="false" customHeight="true" outlineLevel="0" collapsed="false">
      <c r="A11" s="0" t="s">
        <v>15</v>
      </c>
      <c r="B11" s="2" t="s">
        <v>16</v>
      </c>
    </row>
    <row r="12" customFormat="false" ht="31.5" hidden="false" customHeight="true" outlineLevel="0" collapsed="false">
      <c r="A12" s="0" t="s">
        <v>17</v>
      </c>
      <c r="B12" s="2" t="s">
        <v>18</v>
      </c>
    </row>
    <row r="13" customFormat="false" ht="31.5" hidden="false" customHeight="true" outlineLevel="0" collapsed="false">
      <c r="A13" s="0" t="s">
        <v>19</v>
      </c>
      <c r="B13" s="2" t="s">
        <v>20</v>
      </c>
    </row>
    <row r="14" customFormat="false" ht="21.75" hidden="false" customHeight="true" outlineLevel="0" collapsed="false">
      <c r="B14" s="2"/>
    </row>
    <row r="15" customFormat="false" ht="21.75" hidden="false" customHeight="true" outlineLevel="0" collapsed="false">
      <c r="A15" s="0" t="s">
        <v>21</v>
      </c>
      <c r="B15" s="2" t="s">
        <v>22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9"/>
    <col collapsed="false" customWidth="true" hidden="false" outlineLevel="0" max="3" min="3" style="0" width="25"/>
    <col collapsed="false" customWidth="true" hidden="false" outlineLevel="0" max="4" min="4" style="0" width="70"/>
    <col collapsed="false" customWidth="true" hidden="false" outlineLevel="0" max="5" min="5" style="0" width="20"/>
  </cols>
  <sheetData>
    <row r="1" customFormat="false" ht="33.75" hidden="false" customHeight="true" outlineLevel="0" collapsed="false">
      <c r="A1" s="1" t="s">
        <v>23</v>
      </c>
      <c r="B1" s="1"/>
      <c r="C1" s="1"/>
      <c r="D1" s="1"/>
      <c r="E1" s="1"/>
    </row>
    <row r="3" customFormat="false" ht="31.5" hidden="false" customHeight="tru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</row>
    <row r="5" customFormat="false" ht="28.5" hidden="false" customHeight="true" outlineLevel="0" collapsed="false">
      <c r="A5" s="4" t="s">
        <v>29</v>
      </c>
      <c r="B5" s="5" t="n">
        <v>4118</v>
      </c>
      <c r="C5" s="4" t="s">
        <v>30</v>
      </c>
      <c r="D5" s="4" t="s">
        <v>31</v>
      </c>
      <c r="E5" s="4" t="s">
        <v>32</v>
      </c>
    </row>
    <row r="6" customFormat="false" ht="28.5" hidden="false" customHeight="true" outlineLevel="0" collapsed="false">
      <c r="A6" s="4" t="s">
        <v>33</v>
      </c>
      <c r="B6" s="5" t="n">
        <v>365</v>
      </c>
      <c r="C6" s="4" t="s">
        <v>34</v>
      </c>
      <c r="D6" s="4" t="s">
        <v>35</v>
      </c>
      <c r="E6" s="4" t="s">
        <v>36</v>
      </c>
    </row>
    <row r="7" customFormat="false" ht="28.5" hidden="false" customHeight="true" outlineLevel="0" collapsed="false">
      <c r="A7" s="4" t="s">
        <v>37</v>
      </c>
      <c r="B7" s="5" t="n">
        <v>30</v>
      </c>
      <c r="C7" s="4" t="s">
        <v>34</v>
      </c>
      <c r="D7" s="4" t="s">
        <v>38</v>
      </c>
      <c r="E7" s="4" t="s">
        <v>39</v>
      </c>
    </row>
    <row r="8" customFormat="false" ht="28.5" hidden="false" customHeight="true" outlineLevel="0" collapsed="false">
      <c r="A8" s="4" t="s">
        <v>40</v>
      </c>
      <c r="B8" s="5" t="n">
        <v>3</v>
      </c>
      <c r="C8" s="4" t="s">
        <v>41</v>
      </c>
      <c r="D8" s="4" t="s">
        <v>42</v>
      </c>
      <c r="E8" s="4" t="s">
        <v>43</v>
      </c>
    </row>
    <row r="9" customFormat="false" ht="28.5" hidden="false" customHeight="true" outlineLevel="0" collapsed="false">
      <c r="A9" s="4" t="s">
        <v>44</v>
      </c>
      <c r="B9" s="5" t="n">
        <v>10</v>
      </c>
      <c r="C9" s="4" t="s">
        <v>41</v>
      </c>
      <c r="D9" s="4" t="s">
        <v>45</v>
      </c>
      <c r="E9" s="4" t="s">
        <v>39</v>
      </c>
    </row>
    <row r="10" customFormat="false" ht="28.5" hidden="false" customHeight="true" outlineLevel="0" collapsed="false">
      <c r="A10" s="4" t="s">
        <v>46</v>
      </c>
      <c r="B10" s="6" t="n">
        <v>0.1</v>
      </c>
      <c r="C10" s="4" t="s">
        <v>47</v>
      </c>
      <c r="D10" s="4" t="s">
        <v>48</v>
      </c>
      <c r="E10" s="4" t="s">
        <v>39</v>
      </c>
    </row>
    <row r="11" customFormat="false" ht="28.5" hidden="false" customHeight="true" outlineLevel="0" collapsed="false">
      <c r="A11" s="4" t="s">
        <v>49</v>
      </c>
      <c r="B11" s="5" t="n">
        <v>1</v>
      </c>
      <c r="C11" s="4" t="s">
        <v>50</v>
      </c>
      <c r="D11" s="4" t="s">
        <v>51</v>
      </c>
      <c r="E11" s="4" t="s">
        <v>39</v>
      </c>
    </row>
    <row r="12" customFormat="false" ht="28.5" hidden="false" customHeight="true" outlineLevel="0" collapsed="false">
      <c r="A12" s="4" t="s">
        <v>52</v>
      </c>
      <c r="B12" s="5" t="n">
        <v>2</v>
      </c>
      <c r="C12" s="4" t="s">
        <v>53</v>
      </c>
      <c r="D12" s="4" t="s">
        <v>54</v>
      </c>
      <c r="E12" s="4" t="s">
        <v>39</v>
      </c>
    </row>
    <row r="13" customFormat="false" ht="28.5" hidden="false" customHeight="true" outlineLevel="0" collapsed="false">
      <c r="A13" s="4" t="s">
        <v>55</v>
      </c>
      <c r="B13" s="5" t="n">
        <v>12000</v>
      </c>
      <c r="C13" s="4" t="s">
        <v>56</v>
      </c>
      <c r="D13" s="4" t="s">
        <v>57</v>
      </c>
      <c r="E13" s="4" t="s">
        <v>39</v>
      </c>
    </row>
    <row r="14" customFormat="false" ht="28.5" hidden="false" customHeight="true" outlineLevel="0" collapsed="false">
      <c r="A14" s="4" t="s">
        <v>58</v>
      </c>
      <c r="B14" s="5" t="n">
        <v>2000</v>
      </c>
      <c r="C14" s="4" t="s">
        <v>56</v>
      </c>
      <c r="D14" s="4" t="s">
        <v>59</v>
      </c>
      <c r="E14" s="4" t="s">
        <v>39</v>
      </c>
    </row>
    <row r="15" customFormat="false" ht="28.5" hidden="false" customHeight="true" outlineLevel="0" collapsed="false">
      <c r="A15" s="4" t="s">
        <v>60</v>
      </c>
      <c r="B15" s="7" t="n">
        <v>0.2</v>
      </c>
      <c r="C15" s="4" t="s">
        <v>61</v>
      </c>
      <c r="D15" s="4" t="s">
        <v>62</v>
      </c>
      <c r="E15" s="4" t="s">
        <v>63</v>
      </c>
    </row>
    <row r="16" customFormat="false" ht="28.5" hidden="false" customHeight="true" outlineLevel="0" collapsed="false">
      <c r="A16" s="4" t="s">
        <v>64</v>
      </c>
      <c r="B16" s="7" t="n">
        <v>1.2</v>
      </c>
      <c r="C16" s="4" t="s">
        <v>61</v>
      </c>
      <c r="D16" s="4" t="s">
        <v>65</v>
      </c>
      <c r="E16" s="4" t="s">
        <v>63</v>
      </c>
    </row>
    <row r="17" customFormat="false" ht="28.5" hidden="false" customHeight="true" outlineLevel="0" collapsed="false">
      <c r="A17" s="4" t="s">
        <v>66</v>
      </c>
      <c r="B17" s="7" t="n">
        <v>7</v>
      </c>
      <c r="C17" s="4" t="s">
        <v>67</v>
      </c>
      <c r="D17" s="4" t="s">
        <v>68</v>
      </c>
      <c r="E17" s="4" t="s">
        <v>63</v>
      </c>
    </row>
    <row r="18" customFormat="false" ht="28.5" hidden="false" customHeight="true" outlineLevel="0" collapsed="false">
      <c r="A18" s="4" t="s">
        <v>69</v>
      </c>
      <c r="B18" s="7" t="n">
        <v>6</v>
      </c>
      <c r="C18" s="4" t="s">
        <v>67</v>
      </c>
      <c r="D18" s="4" t="s">
        <v>70</v>
      </c>
      <c r="E18" s="4" t="s">
        <v>63</v>
      </c>
    </row>
    <row r="19" customFormat="false" ht="28.5" hidden="false" customHeight="true" outlineLevel="0" collapsed="false">
      <c r="A19" s="4" t="s">
        <v>71</v>
      </c>
      <c r="B19" s="5" t="n">
        <v>1</v>
      </c>
      <c r="C19" s="4" t="s">
        <v>72</v>
      </c>
      <c r="D19" s="4" t="s">
        <v>73</v>
      </c>
      <c r="E19" s="4" t="s">
        <v>39</v>
      </c>
    </row>
    <row r="20" customFormat="false" ht="28.5" hidden="false" customHeight="true" outlineLevel="0" collapsed="false">
      <c r="A20" s="4" t="s">
        <v>74</v>
      </c>
      <c r="B20" s="7" t="n">
        <v>0.3</v>
      </c>
      <c r="C20" s="4" t="s">
        <v>75</v>
      </c>
      <c r="D20" s="4" t="s">
        <v>76</v>
      </c>
      <c r="E20" s="4" t="s">
        <v>63</v>
      </c>
    </row>
    <row r="21" customFormat="false" ht="28.5" hidden="false" customHeight="true" outlineLevel="0" collapsed="false">
      <c r="A21" s="4" t="s">
        <v>77</v>
      </c>
      <c r="B21" s="7" t="n">
        <v>24</v>
      </c>
      <c r="C21" s="4" t="s">
        <v>67</v>
      </c>
      <c r="D21" s="4" t="s">
        <v>78</v>
      </c>
      <c r="E21" s="4" t="s">
        <v>63</v>
      </c>
    </row>
    <row r="22" customFormat="false" ht="28.5" hidden="false" customHeight="true" outlineLevel="0" collapsed="false">
      <c r="A22" s="4" t="s">
        <v>79</v>
      </c>
      <c r="B22" s="5" t="n">
        <v>20</v>
      </c>
      <c r="C22" s="4" t="s">
        <v>80</v>
      </c>
      <c r="D22" s="4" t="s">
        <v>81</v>
      </c>
      <c r="E22" s="4" t="s">
        <v>39</v>
      </c>
    </row>
    <row r="23" customFormat="false" ht="28.5" hidden="false" customHeight="true" outlineLevel="0" collapsed="false">
      <c r="A23" s="4" t="s">
        <v>82</v>
      </c>
      <c r="B23" s="7" t="n">
        <v>0.05</v>
      </c>
      <c r="C23" s="4" t="s">
        <v>75</v>
      </c>
      <c r="D23" s="4" t="s">
        <v>83</v>
      </c>
      <c r="E23" s="4" t="s">
        <v>63</v>
      </c>
    </row>
    <row r="24" customFormat="false" ht="28.5" hidden="false" customHeight="true" outlineLevel="0" collapsed="false">
      <c r="A24" s="4" t="s">
        <v>84</v>
      </c>
      <c r="B24" s="7" t="n">
        <v>1</v>
      </c>
      <c r="C24" s="4" t="s">
        <v>67</v>
      </c>
      <c r="D24" s="4" t="s">
        <v>85</v>
      </c>
      <c r="E24" s="4" t="s">
        <v>86</v>
      </c>
    </row>
    <row r="25" customFormat="false" ht="28.5" hidden="false" customHeight="true" outlineLevel="0" collapsed="false">
      <c r="A25" s="4" t="s">
        <v>87</v>
      </c>
      <c r="B25" s="7" t="n">
        <v>30</v>
      </c>
      <c r="C25" s="4" t="s">
        <v>67</v>
      </c>
      <c r="D25" s="4" t="s">
        <v>88</v>
      </c>
      <c r="E25" s="4" t="s">
        <v>63</v>
      </c>
    </row>
    <row r="26" customFormat="false" ht="28.5" hidden="false" customHeight="true" outlineLevel="0" collapsed="false">
      <c r="A26" s="4" t="s">
        <v>89</v>
      </c>
      <c r="B26" s="7" t="n">
        <v>0</v>
      </c>
      <c r="C26" s="4" t="s">
        <v>67</v>
      </c>
      <c r="D26" s="4" t="s">
        <v>90</v>
      </c>
      <c r="E26" s="4" t="s">
        <v>91</v>
      </c>
    </row>
    <row r="27" customFormat="false" ht="28.5" hidden="false" customHeight="true" outlineLevel="0" collapsed="false">
      <c r="A27" s="4" t="s">
        <v>92</v>
      </c>
      <c r="B27" s="7" t="n">
        <v>0</v>
      </c>
      <c r="C27" s="4" t="s">
        <v>67</v>
      </c>
      <c r="D27" s="4" t="s">
        <v>93</v>
      </c>
      <c r="E27" s="4" t="s">
        <v>94</v>
      </c>
    </row>
    <row r="28" customFormat="false" ht="28.5" hidden="false" customHeight="true" outlineLevel="0" collapsed="false">
      <c r="A28" s="4" t="s">
        <v>95</v>
      </c>
      <c r="B28" s="7" t="n">
        <v>0</v>
      </c>
      <c r="C28" s="4" t="s">
        <v>67</v>
      </c>
      <c r="D28" s="4" t="s">
        <v>96</v>
      </c>
      <c r="E28" s="4" t="s">
        <v>94</v>
      </c>
    </row>
    <row r="29" customFormat="false" ht="28.5" hidden="false" customHeight="true" outlineLevel="0" collapsed="false">
      <c r="A29" s="4" t="s">
        <v>97</v>
      </c>
      <c r="B29" s="7" t="n">
        <v>0</v>
      </c>
      <c r="C29" s="4" t="s">
        <v>67</v>
      </c>
      <c r="D29" s="4" t="s">
        <v>98</v>
      </c>
      <c r="E29" s="4" t="s">
        <v>94</v>
      </c>
    </row>
    <row r="30" customFormat="false" ht="28.5" hidden="false" customHeight="true" outlineLevel="0" collapsed="false">
      <c r="A30" s="4" t="s">
        <v>99</v>
      </c>
      <c r="B30" s="6"/>
      <c r="C30" s="4" t="s">
        <v>100</v>
      </c>
      <c r="D30" s="4" t="s">
        <v>101</v>
      </c>
      <c r="E30" s="4" t="s">
        <v>102</v>
      </c>
    </row>
    <row r="31" customFormat="false" ht="28.5" hidden="false" customHeight="true" outlineLevel="0" collapsed="false">
      <c r="A31" s="4" t="s">
        <v>103</v>
      </c>
      <c r="B31" s="6"/>
      <c r="C31" s="4" t="s">
        <v>100</v>
      </c>
      <c r="D31" s="4" t="s">
        <v>104</v>
      </c>
      <c r="E31" s="4" t="s">
        <v>102</v>
      </c>
    </row>
    <row r="32" customFormat="false" ht="28.5" hidden="false" customHeight="true" outlineLevel="0" collapsed="false">
      <c r="A32" s="4" t="s">
        <v>105</v>
      </c>
      <c r="B32" s="5"/>
      <c r="C32" s="4" t="s">
        <v>106</v>
      </c>
      <c r="D32" s="4" t="s">
        <v>107</v>
      </c>
      <c r="E32" s="4" t="s">
        <v>102</v>
      </c>
    </row>
    <row r="33" customFormat="false" ht="28.5" hidden="false" customHeight="true" outlineLevel="0" collapsed="false">
      <c r="A33" s="4" t="s">
        <v>108</v>
      </c>
      <c r="B33" s="7"/>
      <c r="C33" s="4" t="s">
        <v>109</v>
      </c>
      <c r="D33" s="4" t="s">
        <v>110</v>
      </c>
      <c r="E33" s="4" t="s">
        <v>102</v>
      </c>
    </row>
    <row r="34" customFormat="false" ht="28.5" hidden="false" customHeight="true" outlineLevel="0" collapsed="false">
      <c r="A34" s="4" t="s">
        <v>111</v>
      </c>
      <c r="B34" s="5" t="s">
        <v>112</v>
      </c>
      <c r="C34" s="4" t="s">
        <v>113</v>
      </c>
      <c r="D34" s="4" t="s">
        <v>114</v>
      </c>
      <c r="E34" s="4" t="s">
        <v>115</v>
      </c>
    </row>
    <row r="35" customFormat="false" ht="28.5" hidden="false" customHeight="true" outlineLevel="0" collapsed="false">
      <c r="A35" s="4" t="s">
        <v>116</v>
      </c>
      <c r="B35" s="5" t="n">
        <v>1</v>
      </c>
      <c r="C35" s="4" t="s">
        <v>117</v>
      </c>
      <c r="D35" s="4" t="s">
        <v>118</v>
      </c>
      <c r="E35" s="4" t="s">
        <v>39</v>
      </c>
    </row>
  </sheetData>
  <autoFilter ref="A3:E35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16" min="2" style="0" width="22"/>
    <col collapsed="false" customWidth="true" hidden="false" outlineLevel="0" max="17" min="17" style="0" width="30"/>
    <col collapsed="false" customWidth="true" hidden="false" outlineLevel="0" max="18" min="18" style="0" width="27"/>
    <col collapsed="false" customWidth="true" hidden="false" outlineLevel="0" max="19" min="19" style="0" width="30"/>
  </cols>
  <sheetData>
    <row r="1" customFormat="false" ht="33.7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8" t="s">
        <v>120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customFormat="false" ht="31.5" hidden="false" customHeight="true" outlineLevel="0" collapsed="false">
      <c r="A4" s="3" t="s">
        <v>121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126</v>
      </c>
      <c r="G4" s="3" t="s">
        <v>127</v>
      </c>
      <c r="H4" s="3" t="s">
        <v>128</v>
      </c>
      <c r="I4" s="3" t="s">
        <v>129</v>
      </c>
      <c r="J4" s="3" t="s">
        <v>130</v>
      </c>
      <c r="K4" s="3" t="s">
        <v>131</v>
      </c>
      <c r="L4" s="3" t="s">
        <v>132</v>
      </c>
      <c r="M4" s="3" t="s">
        <v>133</v>
      </c>
      <c r="N4" s="3" t="s">
        <v>134</v>
      </c>
      <c r="O4" s="3" t="s">
        <v>135</v>
      </c>
      <c r="P4" s="3" t="s">
        <v>136</v>
      </c>
      <c r="Q4" s="3" t="s">
        <v>137</v>
      </c>
      <c r="R4" s="3" t="s">
        <v>138</v>
      </c>
      <c r="S4" s="3" t="s">
        <v>139</v>
      </c>
    </row>
    <row r="5" customFormat="false" ht="39.75" hidden="false" customHeight="true" outlineLevel="0" collapsed="false">
      <c r="A5" s="4" t="s">
        <v>140</v>
      </c>
      <c r="B5" s="9" t="n">
        <f aca="false">Inputs!B5/Inputs!B6*Inputs!B35</f>
        <v>11.2821917808219</v>
      </c>
      <c r="C5" s="10" t="n">
        <f aca="false">B5*Inputs!B7</f>
        <v>338.465753424658</v>
      </c>
      <c r="D5" s="10" t="n">
        <f aca="false">C5*Inputs!B8</f>
        <v>1015.39726027397</v>
      </c>
      <c r="E5" s="10" t="n">
        <f aca="false">C5*Inputs!B9</f>
        <v>3384.65753424658</v>
      </c>
      <c r="F5" s="10" t="n">
        <f aca="false">B5*Inputs!B9*Inputs!B10*Inputs!B11</f>
        <v>11.2821917808219</v>
      </c>
      <c r="G5" s="10" t="n">
        <f aca="false">F5/3600</f>
        <v>0.00313394216133942</v>
      </c>
      <c r="H5" s="10" t="n">
        <f aca="false">G5*Inputs!B12</f>
        <v>0.00626788432267884</v>
      </c>
      <c r="I5" s="11" t="n">
        <f aca="false">(Inputs!B13*Inputs!B15+Inputs!B14*Inputs!B16)/1000000</f>
        <v>0.0048</v>
      </c>
      <c r="J5" s="11" t="n">
        <f aca="false">MAX(0,C5*I5-Inputs!B29)</f>
        <v>1.62463561643836</v>
      </c>
      <c r="K5" s="11" t="n">
        <f aca="false">MAX(0,Inputs!B17+Inputs!B18+Inputs!B19*Inputs!B20+Inputs!B26-Inputs!B28)</f>
        <v>13.3</v>
      </c>
      <c r="L5" s="11" t="n">
        <f aca="false">MAX(0,Inputs!B21+Inputs!B22*Inputs!B23+Inputs!B24+Inputs!B26-Inputs!B27)</f>
        <v>26</v>
      </c>
      <c r="M5" s="11" t="n">
        <f aca="false">L5+Inputs!B25</f>
        <v>56</v>
      </c>
      <c r="N5" s="11" t="n">
        <f aca="false">J5+K5</f>
        <v>14.9246356164384</v>
      </c>
      <c r="O5" s="11" t="n">
        <f aca="false">J5+L5</f>
        <v>27.6246356164384</v>
      </c>
      <c r="P5" s="11" t="n">
        <f aca="false">J5+M5</f>
        <v>57.6246356164384</v>
      </c>
      <c r="Q5" s="12" t="str">
        <f aca="false">IF(OR(NOT(ISNUMBER(Inputs!B31)),Inputs!B31&lt;=0),"not defined",N5/(C5*Inputs!B31))</f>
        <v>not defined</v>
      </c>
      <c r="R5" s="12" t="n">
        <f aca="false">IF(C5&gt;0,N5/C5,"not defined")</f>
        <v>0.0440949651934596</v>
      </c>
      <c r="S5" s="12" t="n">
        <f aca="false">IF(C5&gt;0,K5/C5,"not defined")</f>
        <v>0.0392949651934596</v>
      </c>
    </row>
    <row r="6" customFormat="false" ht="39.75" hidden="false" customHeight="true" outlineLevel="0" collapsed="false">
      <c r="A6" s="4" t="s">
        <v>141</v>
      </c>
      <c r="B6" s="9" t="n">
        <v>100</v>
      </c>
      <c r="C6" s="10" t="n">
        <f aca="false">B6*Inputs!B7</f>
        <v>3000</v>
      </c>
      <c r="D6" s="10" t="n">
        <f aca="false">C6*Inputs!B8</f>
        <v>9000</v>
      </c>
      <c r="E6" s="10" t="n">
        <f aca="false">C6*Inputs!B9</f>
        <v>30000</v>
      </c>
      <c r="F6" s="10" t="n">
        <f aca="false">B6*Inputs!B9*Inputs!B10*Inputs!B11</f>
        <v>100</v>
      </c>
      <c r="G6" s="10" t="n">
        <f aca="false">F6/3600</f>
        <v>0.0277777777777778</v>
      </c>
      <c r="H6" s="10" t="n">
        <f aca="false">G6*Inputs!B12</f>
        <v>0.0555555555555556</v>
      </c>
      <c r="I6" s="11" t="n">
        <f aca="false">(Inputs!B13*Inputs!B15+Inputs!B14*Inputs!B16)/1000000</f>
        <v>0.0048</v>
      </c>
      <c r="J6" s="11" t="n">
        <f aca="false">MAX(0,C6*I6-Inputs!B29)</f>
        <v>14.4</v>
      </c>
      <c r="K6" s="11" t="n">
        <f aca="false">MAX(0,Inputs!B17+Inputs!B18+Inputs!B19*Inputs!B20+Inputs!B26-Inputs!B28)</f>
        <v>13.3</v>
      </c>
      <c r="L6" s="11" t="n">
        <f aca="false">MAX(0,Inputs!B21+Inputs!B22*Inputs!B23+Inputs!B24+Inputs!B26-Inputs!B27)</f>
        <v>26</v>
      </c>
      <c r="M6" s="11" t="n">
        <f aca="false">L6+Inputs!B25</f>
        <v>56</v>
      </c>
      <c r="N6" s="11" t="n">
        <f aca="false">J6+K6</f>
        <v>27.7</v>
      </c>
      <c r="O6" s="11" t="n">
        <f aca="false">J6+L6</f>
        <v>40.4</v>
      </c>
      <c r="P6" s="11" t="n">
        <f aca="false">J6+M6</f>
        <v>70.4</v>
      </c>
      <c r="Q6" s="12" t="str">
        <f aca="false">IF(OR(NOT(ISNUMBER(Inputs!B31)),Inputs!B31&lt;=0),"not defined",N6/(C6*Inputs!B31))</f>
        <v>not defined</v>
      </c>
      <c r="R6" s="12" t="n">
        <f aca="false">IF(C6&gt;0,N6/C6,"not defined")</f>
        <v>0.00923333333333333</v>
      </c>
      <c r="S6" s="12" t="n">
        <f aca="false">IF(C6&gt;0,K6/C6,"not defined")</f>
        <v>0.00443333333333333</v>
      </c>
    </row>
    <row r="7" customFormat="false" ht="39.75" hidden="false" customHeight="true" outlineLevel="0" collapsed="false">
      <c r="A7" s="4" t="s">
        <v>142</v>
      </c>
      <c r="B7" s="9" t="n">
        <v>900</v>
      </c>
      <c r="C7" s="10" t="n">
        <f aca="false">B7*Inputs!B7</f>
        <v>27000</v>
      </c>
      <c r="D7" s="10" t="n">
        <f aca="false">C7*Inputs!B8</f>
        <v>81000</v>
      </c>
      <c r="E7" s="10" t="n">
        <f aca="false">C7*Inputs!B9</f>
        <v>270000</v>
      </c>
      <c r="F7" s="10" t="n">
        <f aca="false">B7*Inputs!B9*Inputs!B10*Inputs!B11</f>
        <v>900</v>
      </c>
      <c r="G7" s="10" t="n">
        <f aca="false">F7/3600</f>
        <v>0.25</v>
      </c>
      <c r="H7" s="10" t="n">
        <f aca="false">G7*Inputs!B12</f>
        <v>0.5</v>
      </c>
      <c r="I7" s="11" t="n">
        <f aca="false">(Inputs!B13*Inputs!B15+Inputs!B14*Inputs!B16)/1000000</f>
        <v>0.0048</v>
      </c>
      <c r="J7" s="11" t="n">
        <f aca="false">MAX(0,C7*I7-Inputs!B29)</f>
        <v>129.6</v>
      </c>
      <c r="K7" s="11" t="n">
        <f aca="false">MAX(0,Inputs!B17+Inputs!B18+Inputs!B19*Inputs!B20+Inputs!B26-Inputs!B28)</f>
        <v>13.3</v>
      </c>
      <c r="L7" s="11" t="n">
        <f aca="false">MAX(0,Inputs!B21+Inputs!B22*Inputs!B23+Inputs!B24+Inputs!B26-Inputs!B27)</f>
        <v>26</v>
      </c>
      <c r="M7" s="11" t="n">
        <f aca="false">L7+Inputs!B25</f>
        <v>56</v>
      </c>
      <c r="N7" s="11" t="n">
        <f aca="false">J7+K7</f>
        <v>142.9</v>
      </c>
      <c r="O7" s="11" t="n">
        <f aca="false">J7+L7</f>
        <v>155.6</v>
      </c>
      <c r="P7" s="11" t="n">
        <f aca="false">J7+M7</f>
        <v>185.6</v>
      </c>
      <c r="Q7" s="12" t="str">
        <f aca="false">IF(OR(NOT(ISNUMBER(Inputs!B31)),Inputs!B31&lt;=0),"not defined",N7/(C7*Inputs!B31))</f>
        <v>not defined</v>
      </c>
      <c r="R7" s="12" t="n">
        <f aca="false">IF(C7&gt;0,N7/C7,"not defined")</f>
        <v>0.00529259259259259</v>
      </c>
      <c r="S7" s="12" t="n">
        <f aca="false">IF(C7&gt;0,K7/C7,"not defined")</f>
        <v>0.000492592592592593</v>
      </c>
    </row>
    <row r="8" customFormat="false" ht="39.75" hidden="false" customHeight="true" outlineLevel="0" collapsed="false">
      <c r="A8" s="4" t="s">
        <v>143</v>
      </c>
      <c r="B8" s="9" t="n">
        <v>9000</v>
      </c>
      <c r="C8" s="10" t="n">
        <f aca="false">B8*Inputs!B7</f>
        <v>270000</v>
      </c>
      <c r="D8" s="10" t="n">
        <f aca="false">C8*Inputs!B8</f>
        <v>810000</v>
      </c>
      <c r="E8" s="10" t="n">
        <f aca="false">C8*Inputs!B9</f>
        <v>2700000</v>
      </c>
      <c r="F8" s="10" t="n">
        <f aca="false">B8*Inputs!B9*Inputs!B10*Inputs!B11</f>
        <v>9000</v>
      </c>
      <c r="G8" s="10" t="n">
        <f aca="false">F8/3600</f>
        <v>2.5</v>
      </c>
      <c r="H8" s="10" t="n">
        <f aca="false">G8*Inputs!B12</f>
        <v>5</v>
      </c>
      <c r="I8" s="11" t="n">
        <f aca="false">(Inputs!B13*Inputs!B15+Inputs!B14*Inputs!B16)/1000000</f>
        <v>0.0048</v>
      </c>
      <c r="J8" s="11" t="n">
        <f aca="false">MAX(0,C8*I8-Inputs!B29)</f>
        <v>1296</v>
      </c>
      <c r="K8" s="11" t="n">
        <f aca="false">MAX(0,Inputs!B17+Inputs!B18+Inputs!B19*Inputs!B20+Inputs!B26-Inputs!B28)</f>
        <v>13.3</v>
      </c>
      <c r="L8" s="11" t="n">
        <f aca="false">MAX(0,Inputs!B21+Inputs!B22*Inputs!B23+Inputs!B24+Inputs!B26-Inputs!B27)</f>
        <v>26</v>
      </c>
      <c r="M8" s="11" t="n">
        <f aca="false">L8+Inputs!B25</f>
        <v>56</v>
      </c>
      <c r="N8" s="11" t="n">
        <f aca="false">J8+K8</f>
        <v>1309.3</v>
      </c>
      <c r="O8" s="11" t="n">
        <f aca="false">J8+L8</f>
        <v>1322</v>
      </c>
      <c r="P8" s="11" t="n">
        <f aca="false">J8+M8</f>
        <v>1352</v>
      </c>
      <c r="Q8" s="12" t="str">
        <f aca="false">IF(OR(NOT(ISNUMBER(Inputs!B31)),Inputs!B31&lt;=0),"not defined",N8/(C8*Inputs!B31))</f>
        <v>not defined</v>
      </c>
      <c r="R8" s="12" t="n">
        <f aca="false">IF(C8&gt;0,N8/C8,"not defined")</f>
        <v>0.00484925925925926</v>
      </c>
      <c r="S8" s="12" t="n">
        <f aca="false">IF(C8&gt;0,K8/C8,"not defined")</f>
        <v>4.92592592592593E-005</v>
      </c>
    </row>
    <row r="10" customFormat="false" ht="15" hidden="false" customHeight="false" outlineLevel="0" collapsed="false">
      <c r="A10" s="0" t="s">
        <v>144</v>
      </c>
      <c r="B10" s="13" t="s">
        <v>145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customFormat="false" ht="15" hidden="false" customHeight="false" outlineLevel="0" collapsed="false">
      <c r="A11" s="0" t="s">
        <v>146</v>
      </c>
      <c r="B11" s="13" t="s">
        <v>147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customFormat="false" ht="15" hidden="false" customHeight="false" outlineLevel="0" collapsed="false">
      <c r="A12" s="0" t="s">
        <v>148</v>
      </c>
      <c r="B12" s="13" t="s">
        <v>149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</sheetData>
  <autoFilter ref="A4:S8"/>
  <mergeCells count="5">
    <mergeCell ref="A1:S1"/>
    <mergeCell ref="A2:S2"/>
    <mergeCell ref="B10:S10"/>
    <mergeCell ref="B11:S11"/>
    <mergeCell ref="B12:S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8"/>
    <col collapsed="false" customWidth="true" hidden="false" outlineLevel="0" max="3" min="3" style="0" width="74"/>
    <col collapsed="false" customWidth="true" hidden="false" outlineLevel="0" max="4" min="4" style="0" width="63"/>
  </cols>
  <sheetData>
    <row r="1" customFormat="false" ht="33.75" hidden="false" customHeight="true" outlineLevel="0" collapsed="false">
      <c r="A1" s="1" t="s">
        <v>150</v>
      </c>
      <c r="B1" s="1"/>
      <c r="C1" s="1"/>
      <c r="D1" s="1"/>
    </row>
    <row r="3" customFormat="false" ht="31.5" hidden="false" customHeight="true" outlineLevel="0" collapsed="false">
      <c r="A3" s="3" t="s">
        <v>151</v>
      </c>
      <c r="B3" s="3" t="s">
        <v>152</v>
      </c>
      <c r="C3" s="3" t="s">
        <v>153</v>
      </c>
      <c r="D3" s="3" t="s">
        <v>9</v>
      </c>
    </row>
    <row r="4" customFormat="false" ht="61.5" hidden="false" customHeight="true" outlineLevel="0" collapsed="false">
      <c r="A4" s="2" t="s">
        <v>154</v>
      </c>
      <c r="B4" s="2" t="s">
        <v>155</v>
      </c>
      <c r="C4" s="2" t="s">
        <v>156</v>
      </c>
      <c r="D4" s="2" t="s">
        <v>157</v>
      </c>
    </row>
    <row r="5" customFormat="false" ht="61.5" hidden="false" customHeight="true" outlineLevel="0" collapsed="false">
      <c r="A5" s="2" t="s">
        <v>158</v>
      </c>
      <c r="B5" s="2" t="s">
        <v>159</v>
      </c>
      <c r="C5" s="2" t="s">
        <v>160</v>
      </c>
      <c r="D5" s="2" t="s">
        <v>161</v>
      </c>
    </row>
    <row r="6" customFormat="false" ht="61.5" hidden="false" customHeight="true" outlineLevel="0" collapsed="false">
      <c r="A6" s="2" t="s">
        <v>162</v>
      </c>
      <c r="B6" s="2" t="s">
        <v>163</v>
      </c>
      <c r="C6" s="2" t="s">
        <v>164</v>
      </c>
      <c r="D6" s="2" t="s">
        <v>165</v>
      </c>
    </row>
    <row r="7" customFormat="false" ht="61.5" hidden="false" customHeight="true" outlineLevel="0" collapsed="false">
      <c r="A7" s="2" t="s">
        <v>166</v>
      </c>
      <c r="B7" s="2" t="s">
        <v>167</v>
      </c>
      <c r="C7" s="14" t="s">
        <v>168</v>
      </c>
      <c r="D7" s="2" t="s">
        <v>169</v>
      </c>
    </row>
    <row r="8" customFormat="false" ht="61.5" hidden="false" customHeight="true" outlineLevel="0" collapsed="false">
      <c r="A8" s="2" t="s">
        <v>170</v>
      </c>
      <c r="B8" s="2" t="s">
        <v>171</v>
      </c>
      <c r="C8" s="14" t="s">
        <v>172</v>
      </c>
      <c r="D8" s="2" t="s">
        <v>173</v>
      </c>
    </row>
    <row r="9" customFormat="false" ht="61.5" hidden="false" customHeight="true" outlineLevel="0" collapsed="false">
      <c r="A9" s="2" t="s">
        <v>174</v>
      </c>
      <c r="B9" s="2" t="s">
        <v>175</v>
      </c>
      <c r="C9" s="14" t="s">
        <v>176</v>
      </c>
      <c r="D9" s="2" t="s">
        <v>177</v>
      </c>
    </row>
    <row r="10" customFormat="false" ht="61.5" hidden="false" customHeight="true" outlineLevel="0" collapsed="false">
      <c r="A10" s="2" t="s">
        <v>178</v>
      </c>
      <c r="B10" s="2" t="s">
        <v>179</v>
      </c>
      <c r="C10" s="14" t="s">
        <v>180</v>
      </c>
      <c r="D10" s="2" t="s">
        <v>181</v>
      </c>
    </row>
    <row r="11" customFormat="false" ht="61.5" hidden="false" customHeight="true" outlineLevel="0" collapsed="false">
      <c r="A11" s="2" t="s">
        <v>182</v>
      </c>
      <c r="B11" s="2" t="s">
        <v>183</v>
      </c>
      <c r="C11" s="14" t="s">
        <v>184</v>
      </c>
      <c r="D11" s="2" t="s">
        <v>185</v>
      </c>
    </row>
    <row r="12" customFormat="false" ht="61.5" hidden="false" customHeight="true" outlineLevel="0" collapsed="false">
      <c r="A12" s="2" t="s">
        <v>186</v>
      </c>
      <c r="B12" s="2" t="s">
        <v>187</v>
      </c>
      <c r="C12" s="14" t="s">
        <v>188</v>
      </c>
      <c r="D12" s="2" t="s">
        <v>189</v>
      </c>
    </row>
    <row r="13" customFormat="false" ht="61.5" hidden="false" customHeight="true" outlineLevel="0" collapsed="false">
      <c r="A13" s="2" t="s">
        <v>190</v>
      </c>
      <c r="B13" s="2" t="s">
        <v>191</v>
      </c>
      <c r="C13" s="14" t="s">
        <v>192</v>
      </c>
      <c r="D13" s="2" t="s">
        <v>193</v>
      </c>
    </row>
  </sheetData>
  <mergeCells count="1">
    <mergeCell ref="A1:D1"/>
  </mergeCells>
  <hyperlinks>
    <hyperlink ref="C7" r:id="rId1" display="https://developers.openai.com/api/docs/models/gpt-5.6-luna"/>
    <hyperlink ref="C8" r:id="rId2" display="https://aws.amazon.com/lightsail/pricing/"/>
    <hyperlink ref="C9" r:id="rId3" display="https://render.com/pricing"/>
    <hyperlink ref="C10" r:id="rId4" display="https://aws.amazon.com/free/"/>
    <hyperlink ref="C11" r:id="rId5" display="https://calculator.aws/"/>
    <hyperlink ref="C12" r:id="rId6" display="https://developers.cloudflare.com/workers/platform/pricing/"/>
    <hyperlink ref="C13" r:id="rId7" display="https://developers.cloudflare.com/d1/platform/limit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7"/>
    <col collapsed="false" customWidth="true" hidden="false" outlineLevel="0" max="4" min="4" style="0" width="24"/>
    <col collapsed="false" customWidth="true" hidden="false" outlineLevel="0" max="5" min="5" style="0" width="23"/>
    <col collapsed="false" customWidth="true" hidden="false" outlineLevel="0" max="6" min="6" style="0" width="25"/>
    <col collapsed="false" customWidth="true" hidden="false" outlineLevel="0" max="7" min="7" style="0" width="31"/>
  </cols>
  <sheetData>
    <row r="1" customFormat="false" ht="33.75" hidden="false" customHeight="true" outlineLevel="0" collapsed="false">
      <c r="A1" s="1" t="s">
        <v>194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3" t="s">
        <v>195</v>
      </c>
      <c r="B2" s="13"/>
      <c r="C2" s="13"/>
      <c r="D2" s="13"/>
      <c r="E2" s="13"/>
      <c r="F2" s="13"/>
      <c r="G2" s="13"/>
    </row>
    <row r="4" customFormat="false" ht="31.5" hidden="false" customHeight="true" outlineLevel="0" collapsed="false">
      <c r="A4" s="3" t="s">
        <v>121</v>
      </c>
      <c r="B4" s="3" t="s">
        <v>122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</row>
    <row r="5" customFormat="false" ht="27.75" hidden="false" customHeight="true" outlineLevel="0" collapsed="false">
      <c r="A5" s="0" t="str">
        <f aca="false">Scenarios!A5</f>
        <v>2025 V1 complaint proxy</v>
      </c>
      <c r="B5" s="15" t="n">
        <f aca="false">Scenarios!B5</f>
        <v>11.2821917808219</v>
      </c>
      <c r="C5" s="16" t="n">
        <f aca="false">B5*Inputs!B9</f>
        <v>112.821917808219</v>
      </c>
      <c r="D5" s="0" t="n">
        <v>100000</v>
      </c>
      <c r="E5" s="16" t="n">
        <f aca="false">D5-C5</f>
        <v>99887.1780821918</v>
      </c>
      <c r="F5" s="0" t="str">
        <f aca="false">IF(C5&lt;=D5,"under request cap","over request cap")</f>
        <v>under request cap</v>
      </c>
      <c r="G5" s="17" t="n">
        <f aca="false">Scenarios!J5</f>
        <v>1.62463561643836</v>
      </c>
    </row>
    <row r="6" customFormat="false" ht="27.75" hidden="false" customHeight="true" outlineLevel="0" collapsed="false">
      <c r="A6" s="0" t="str">
        <f aca="false">Scenarios!A6</f>
        <v>100/day test</v>
      </c>
      <c r="B6" s="15" t="n">
        <f aca="false">Scenarios!B6</f>
        <v>100</v>
      </c>
      <c r="C6" s="16" t="n">
        <f aca="false">B6*Inputs!B9</f>
        <v>1000</v>
      </c>
      <c r="D6" s="0" t="n">
        <v>100000</v>
      </c>
      <c r="E6" s="16" t="n">
        <f aca="false">D6-C6</f>
        <v>99000</v>
      </c>
      <c r="F6" s="0" t="str">
        <f aca="false">IF(C6&lt;=D6,"under request cap","over request cap")</f>
        <v>under request cap</v>
      </c>
      <c r="G6" s="17" t="n">
        <f aca="false">Scenarios!J6</f>
        <v>14.4</v>
      </c>
    </row>
    <row r="7" customFormat="false" ht="27.75" hidden="false" customHeight="true" outlineLevel="0" collapsed="false">
      <c r="A7" s="0" t="str">
        <f aca="false">Scenarios!A7</f>
        <v>900/day all-contact stress</v>
      </c>
      <c r="B7" s="15" t="n">
        <f aca="false">Scenarios!B7</f>
        <v>900</v>
      </c>
      <c r="C7" s="16" t="n">
        <f aca="false">B7*Inputs!B9</f>
        <v>9000</v>
      </c>
      <c r="D7" s="0" t="n">
        <v>100000</v>
      </c>
      <c r="E7" s="16" t="n">
        <f aca="false">D7-C7</f>
        <v>91000</v>
      </c>
      <c r="F7" s="0" t="str">
        <f aca="false">IF(C7&lt;=D7,"under request cap","over request cap")</f>
        <v>under request cap</v>
      </c>
      <c r="G7" s="17" t="n">
        <f aca="false">Scenarios!J7</f>
        <v>129.6</v>
      </c>
    </row>
    <row r="8" customFormat="false" ht="27.75" hidden="false" customHeight="true" outlineLevel="0" collapsed="false">
      <c r="A8" s="0" t="str">
        <f aca="false">Scenarios!A8</f>
        <v>9,000/day stress</v>
      </c>
      <c r="B8" s="15" t="n">
        <f aca="false">Scenarios!B8</f>
        <v>9000</v>
      </c>
      <c r="C8" s="16" t="n">
        <f aca="false">B8*Inputs!B9</f>
        <v>90000</v>
      </c>
      <c r="D8" s="0" t="n">
        <v>100000</v>
      </c>
      <c r="E8" s="16" t="n">
        <f aca="false">D8-C8</f>
        <v>10000</v>
      </c>
      <c r="F8" s="0" t="str">
        <f aca="false">IF(C8&lt;=D8,"under request cap","over request cap")</f>
        <v>under request cap</v>
      </c>
      <c r="G8" s="17" t="n">
        <f aca="false">Scenarios!J8</f>
        <v>1296</v>
      </c>
    </row>
    <row r="10" customFormat="false" ht="15" hidden="false" customHeight="false" outlineLevel="0" collapsed="false">
      <c r="A10" s="0" t="s">
        <v>201</v>
      </c>
      <c r="B10" s="13" t="s">
        <v>202</v>
      </c>
      <c r="C10" s="13"/>
      <c r="D10" s="13"/>
      <c r="E10" s="13"/>
      <c r="F10" s="13"/>
      <c r="G10" s="13"/>
    </row>
    <row r="11" customFormat="false" ht="15" hidden="false" customHeight="false" outlineLevel="0" collapsed="false">
      <c r="A11" s="0" t="s">
        <v>203</v>
      </c>
      <c r="B11" s="13" t="s">
        <v>204</v>
      </c>
      <c r="C11" s="13"/>
      <c r="D11" s="13"/>
      <c r="E11" s="13"/>
      <c r="F11" s="13"/>
      <c r="G11" s="13"/>
    </row>
    <row r="12" customFormat="false" ht="15" hidden="false" customHeight="false" outlineLevel="0" collapsed="false">
      <c r="A12" s="0" t="s">
        <v>205</v>
      </c>
      <c r="B12" s="13" t="s">
        <v>206</v>
      </c>
      <c r="C12" s="13"/>
      <c r="D12" s="13"/>
      <c r="E12" s="13"/>
      <c r="F12" s="13"/>
      <c r="G12" s="13"/>
    </row>
    <row r="13" customFormat="false" ht="15" hidden="false" customHeight="false" outlineLevel="0" collapsed="false">
      <c r="A13" s="0" t="s">
        <v>207</v>
      </c>
      <c r="B13" s="13" t="s">
        <v>208</v>
      </c>
      <c r="C13" s="13"/>
      <c r="D13" s="13"/>
      <c r="E13" s="13"/>
      <c r="F13" s="13"/>
      <c r="G13" s="13"/>
    </row>
  </sheetData>
  <mergeCells count="6">
    <mergeCell ref="A1:G1"/>
    <mergeCell ref="A2:G2"/>
    <mergeCell ref="B10:G10"/>
    <mergeCell ref="B11:G11"/>
    <mergeCell ref="B12:G12"/>
    <mergeCell ref="B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2026-09-29T01:16:38Z</dcterms:created>
  <dc:creator>openpyxl</dc:creator>
  <dc:description/>
  <dc:language>en-US</dc:language>
  <cp:lastModifiedBy/>
  <dcterms:modified xsi:type="dcterms:W3CDTF">2026-09-29T01:16:38Z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