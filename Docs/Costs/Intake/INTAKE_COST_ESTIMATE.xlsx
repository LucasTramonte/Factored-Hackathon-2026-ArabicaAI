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" sheetId="2" state="visible" r:id="rId2"/>
    <sheet name="Cloudflare capacity" sheetId="3" state="visible" r:id="rId3"/>
    <sheet name="Monthly cost" sheetId="4" state="visible" r:id="rId4"/>
    <sheet name="AI options (future)" sheetId="5" state="visible" r:id="rId5"/>
    <sheet name="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&quot;$&quot;#,##0.00"/>
    <numFmt numFmtId="167" formatCode="&quot;$&quot;#,##0.0000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17343B"/>
    </font>
    <font>
      <i val="1"/>
      <color rgb="0017343B"/>
    </font>
    <font>
      <b val="1"/>
    </font>
  </fonts>
  <fills count="5">
    <fill>
      <patternFill/>
    </fill>
    <fill>
      <patternFill patternType="gray125"/>
    </fill>
    <fill>
      <patternFill patternType="solid">
        <fgColor rgb="0017343B"/>
      </patternFill>
    </fill>
    <fill>
      <patternFill patternType="solid">
        <fgColor rgb="00147D76"/>
      </patternFill>
    </fill>
    <fill>
      <patternFill patternType="solid">
        <fgColor rgb="00FFF0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4" fillId="0" borderId="0" pivotButton="0" quotePrefix="0" xfId="0"/>
    <xf numFmtId="3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 ht="30" customHeight="1">
      <c r="A1" s="1" t="inlineStr">
        <is>
          <t>ArabicaAI | Intake capacity and cost (ADR-004)</t>
        </is>
      </c>
    </row>
    <row r="3">
      <c r="A3" s="2" t="inlineStr">
        <is>
          <t>Decision</t>
        </is>
      </c>
      <c r="B3" s="2" t="inlineStr">
        <is>
          <t>Run the intake service on Cloudflare Workers + D1 Free through 2026-10-31. Move to Workers Paid ($5/month) if any daily Free limit stays above 70% for 3 days.</t>
        </is>
      </c>
    </row>
    <row r="4">
      <c r="A4" s="2" t="inlineStr">
        <is>
          <t>Window</t>
        </is>
      </c>
      <c r="B4" s="2" t="inlineStr">
        <is>
          <t>2026-09-29 to 2026-10-31. Finalists are announced on 2026-10-15.</t>
        </is>
      </c>
    </row>
    <row r="5">
      <c r="A5" s="2" t="inlineStr">
        <is>
          <t>Demand</t>
        </is>
      </c>
      <c r="B5" s="2" t="inlineStr">
        <is>
          <t>Observed synthetic sample only: interactions p50 664, p95 818, max 894 per day. Production volume is not disclosed, so S1-S4 are sizing scenarios, not forecasts.</t>
        </is>
      </c>
    </row>
    <row r="6">
      <c r="A6" s="2" t="inlineStr">
        <is>
          <t>Measured</t>
        </is>
      </c>
      <c r="B6" s="2" t="inlineStr">
        <is>
          <t>D1 queries, rows and stored bytes come from local tests (back-end/test/integration/budget.test.js; SQLite with the Worker migrations). Worker CPU is not measured yet.</t>
        </is>
      </c>
    </row>
    <row r="7">
      <c r="A7" s="2" t="inlineStr">
        <is>
          <t>Editing</t>
        </is>
      </c>
      <c r="B7" s="2" t="inlineStr">
        <is>
          <t>Change the yellow cells on Inputs. Every other sheet recalculates.</t>
        </is>
      </c>
    </row>
    <row r="8">
      <c r="A8" s="2" t="inlineStr">
        <is>
          <t>Not included</t>
        </is>
      </c>
      <c r="B8" s="2" t="inlineStr">
        <is>
          <t>Taxes, FX, custom domain, paid logs, egress beyond the free allowances, labour, support, high availability, security operations, credits.</t>
        </is>
      </c>
    </row>
    <row r="9">
      <c r="A9" s="2" t="inlineStr">
        <is>
          <t>AWS figures</t>
        </is>
      </c>
      <c r="B9" s="2" t="inlineStr">
        <is>
          <t>Per-request AWS prices come from official pages. RDS rows are indicative and must be confirmed in the AWS Pricing Calculator (procedure in ADR-004).</t>
        </is>
      </c>
    </row>
    <row r="10">
      <c r="A10" s="2" t="inlineStr">
        <is>
          <t>AI</t>
        </is>
      </c>
      <c r="B10" s="2" t="inlineStr">
        <is>
          <t>No model runs in the MVP (ADR-002). The AI sheet is a future envelope with unmeasured tokens, not a plan.</t>
        </is>
      </c>
    </row>
    <row r="11">
      <c r="A11" s="2" t="inlineStr">
        <is>
          <t>Checked</t>
        </is>
      </c>
      <c r="B11" s="2" t="inlineStr">
        <is>
          <t>Prices and limits checked 2026-09-29.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70" customWidth="1" min="4" max="4"/>
    <col width="18" customWidth="1" min="5" max="5"/>
  </cols>
  <sheetData>
    <row r="1" ht="30" customHeight="1">
      <c r="A1" s="1" t="inlineStr">
        <is>
          <t>Inputs | change yellow cells only with evidence</t>
        </is>
      </c>
    </row>
    <row r="3" ht="30" customHeight="1">
      <c r="A3" s="3" t="inlineStr">
        <is>
          <t>Parameter</t>
        </is>
      </c>
      <c r="B3" s="3" t="inlineStr">
        <is>
          <t>Value</t>
        </is>
      </c>
      <c r="C3" s="3" t="inlineStr">
        <is>
          <t>Unit</t>
        </is>
      </c>
      <c r="D3" s="3" t="inlineStr">
        <is>
          <t>Source or definition</t>
        </is>
      </c>
      <c r="E3" s="3" t="inlineStr">
        <is>
          <t>Evidence</t>
        </is>
      </c>
    </row>
    <row r="4">
      <c r="A4" s="2" t="inlineStr">
        <is>
          <t>S1 volume: p95 daily 'Cargo no reconocido' complaints (2025)</t>
        </is>
      </c>
      <c r="B4" s="4" t="n">
        <v>17</v>
      </c>
      <c r="C4" s="2" t="inlineStr">
        <is>
          <t>episodes/day</t>
        </is>
      </c>
      <c r="D4" s="2" t="inlineStr">
        <is>
          <t>Silver fact_complaints, 2025 daily p95</t>
        </is>
      </c>
      <c r="E4" s="2" t="inlineStr">
        <is>
          <t>observed synthetic</t>
        </is>
      </c>
    </row>
    <row r="5">
      <c r="A5" s="2" t="inlineStr">
        <is>
          <t>S2 volume: p95 daily 'Queja' interactions</t>
        </is>
      </c>
      <c r="B5" s="4" t="n">
        <v>145</v>
      </c>
      <c r="C5" s="2" t="inlineStr">
        <is>
          <t>episodes/day</t>
        </is>
      </c>
      <c r="D5" s="2" t="inlineStr">
        <is>
          <t>Silver fact_call_center_interactions, daily p95</t>
        </is>
      </c>
      <c r="E5" s="2" t="inlineStr">
        <is>
          <t>observed synthetic</t>
        </is>
      </c>
    </row>
    <row r="6">
      <c r="A6" s="2" t="inlineStr">
        <is>
          <t>S3 volume: p95 daily call-center interactions (all reasons)</t>
        </is>
      </c>
      <c r="B6" s="4" t="n">
        <v>818</v>
      </c>
      <c r="C6" s="2" t="inlineStr">
        <is>
          <t>episodes/day</t>
        </is>
      </c>
      <c r="D6" s="2" t="inlineStr">
        <is>
          <t>Silver fact_call_center_interactions, daily p95 (max 894)</t>
        </is>
      </c>
      <c r="E6" s="2" t="inlineStr">
        <is>
          <t>observed synthetic</t>
        </is>
      </c>
    </row>
    <row r="7">
      <c r="A7" s="2" t="inlineStr">
        <is>
          <t>S4 volume: 10x S3 stress</t>
        </is>
      </c>
      <c r="B7" s="4" t="n">
        <v>8180</v>
      </c>
      <c r="C7" s="2" t="inlineStr">
        <is>
          <t>episodes/day</t>
        </is>
      </c>
      <c r="D7" s="2" t="inlineStr">
        <is>
          <t>Stress test only; production volume is not disclosed</t>
        </is>
      </c>
      <c r="E7" s="2" t="inlineStr">
        <is>
          <t>assumption</t>
        </is>
      </c>
    </row>
    <row r="8">
      <c r="A8" s="2" t="inlineStr">
        <is>
          <t>Evaluation window</t>
        </is>
      </c>
      <c r="B8" s="4" t="n">
        <v>32</v>
      </c>
      <c r="C8" s="2" t="inlineStr">
        <is>
          <t>days</t>
        </is>
      </c>
      <c r="D8" s="2" t="inlineStr">
        <is>
          <t>2026-09-29 to 2026-10-31</t>
        </is>
      </c>
      <c r="E8" s="2" t="inlineStr">
        <is>
          <t>fact</t>
        </is>
      </c>
    </row>
    <row r="9">
      <c r="A9" s="2" t="inlineStr">
        <is>
          <t>Days per modeled month</t>
        </is>
      </c>
      <c r="B9" s="4" t="n">
        <v>30</v>
      </c>
      <c r="C9" s="2" t="inlineStr">
        <is>
          <t>days</t>
        </is>
      </c>
      <c r="D9" s="2" t="inlineStr">
        <is>
          <t>Comparable 30-day month</t>
        </is>
      </c>
      <c r="E9" s="2" t="inlineStr">
        <is>
          <t>assumption</t>
        </is>
      </c>
    </row>
    <row r="10">
      <c r="A10" s="2" t="inlineStr">
        <is>
          <t>Busiest-hour factor over the daily average</t>
        </is>
      </c>
      <c r="B10" s="4" t="n">
        <v>3</v>
      </c>
      <c r="C10" s="2" t="inlineStr">
        <is>
          <t>x</t>
        </is>
      </c>
      <c r="D10" s="2" t="inlineStr">
        <is>
          <t>Synthetic hourly profile is flat (~4.2%/hour); 3x is a stress assumption</t>
        </is>
      </c>
      <c r="E10" s="2" t="inlineStr">
        <is>
          <t>assumption</t>
        </is>
      </c>
    </row>
    <row r="11">
      <c r="A11" s="2" t="inlineStr">
        <is>
          <t>Worker requests per page load (gated HTML document + identity list)</t>
        </is>
      </c>
      <c r="B11" s="4" t="n">
        <v>2</v>
      </c>
      <c r="C11" s="2" t="inlineStr">
        <is>
          <t>requests/episode</t>
        </is>
      </c>
      <c r="D11" s="2" t="inlineStr">
        <is>
          <t>run_worker_first covers /, /index.html, /agent; GET /demo/identities touches no D1</t>
        </is>
      </c>
      <c r="E11" s="2" t="inlineStr">
        <is>
          <t>code-derived</t>
        </is>
      </c>
    </row>
    <row r="12">
      <c r="A12" s="2" t="inlineStr">
        <is>
          <t>Customer API requests per episode</t>
        </is>
      </c>
      <c r="B12" s="4" t="n">
        <v>3</v>
      </c>
      <c r="C12" s="2" t="inlineStr">
        <is>
          <t>requests/episode</t>
        </is>
      </c>
      <c r="D12" s="2" t="inlineStr">
        <is>
          <t>login, list charges, create case (budget test)</t>
        </is>
      </c>
      <c r="E12" s="2" t="inlineStr">
        <is>
          <t>measured locally</t>
        </is>
      </c>
    </row>
    <row r="13">
      <c r="A13" s="2" t="inlineStr">
        <is>
          <t>D1 queries per customer episode</t>
        </is>
      </c>
      <c r="B13" s="4" t="n">
        <v>9</v>
      </c>
      <c r="C13" s="2" t="inlineStr">
        <is>
          <t>queries/episode</t>
        </is>
      </c>
      <c r="D13" s="2" t="inlineStr">
        <is>
          <t>back-end/test/integration/budget.test.js</t>
        </is>
      </c>
      <c r="E13" s="2" t="inlineStr">
        <is>
          <t>measured locally</t>
        </is>
      </c>
    </row>
    <row r="14">
      <c r="A14" s="2" t="inlineStr">
        <is>
          <t>D1 rows read per customer episode</t>
        </is>
      </c>
      <c r="B14" s="4" t="n">
        <v>10</v>
      </c>
      <c r="C14" s="2" t="inlineStr">
        <is>
          <t>rows/episode</t>
        </is>
      </c>
      <c r="D14" s="2" t="inlineStr">
        <is>
          <t>budget test, local D1</t>
        </is>
      </c>
      <c r="E14" s="2" t="inlineStr">
        <is>
          <t>measured locally</t>
        </is>
      </c>
    </row>
    <row r="15">
      <c r="A15" s="2" t="inlineStr">
        <is>
          <t>D1 rows written per customer episode (incl. index writes)</t>
        </is>
      </c>
      <c r="B15" s="4" t="n">
        <v>7</v>
      </c>
      <c r="C15" s="2" t="inlineStr">
        <is>
          <t>rows/episode</t>
        </is>
      </c>
      <c r="D15" s="2" t="inlineStr">
        <is>
          <t>budget test, local D1</t>
        </is>
      </c>
      <c r="E15" s="2" t="inlineStr">
        <is>
          <t>measured locally</t>
        </is>
      </c>
    </row>
    <row r="16">
      <c r="A16" s="2" t="inlineStr">
        <is>
          <t>Agent queue refreshes per accepted case</t>
        </is>
      </c>
      <c r="B16" s="4" t="n">
        <v>1</v>
      </c>
      <c r="C16" s="2" t="inlineStr">
        <is>
          <t>refreshes/case</t>
        </is>
      </c>
      <c r="D16" s="2" t="inlineStr">
        <is>
          <t>One agent look per case</t>
        </is>
      </c>
      <c r="E16" s="2" t="inlineStr">
        <is>
          <t>assumption</t>
        </is>
      </c>
    </row>
    <row r="17">
      <c r="A17" s="2" t="inlineStr">
        <is>
          <t>Worker requests per agent refresh</t>
        </is>
      </c>
      <c r="B17" s="4" t="n">
        <v>2</v>
      </c>
      <c r="C17" s="2" t="inlineStr">
        <is>
          <t>requests/refresh</t>
        </is>
      </c>
      <c r="D17" s="2" t="inlineStr">
        <is>
          <t>agent session + case list</t>
        </is>
      </c>
      <c r="E17" s="2" t="inlineStr">
        <is>
          <t>code-derived</t>
        </is>
      </c>
    </row>
    <row r="18">
      <c r="A18" s="2" t="inlineStr">
        <is>
          <t>D1 rows read per agent refresh (full 50-case page)</t>
        </is>
      </c>
      <c r="B18" s="4" t="n">
        <v>155</v>
      </c>
      <c r="C18" s="2" t="inlineStr">
        <is>
          <t>rows/refresh</t>
        </is>
      </c>
      <c r="D18" s="2" t="inlineStr">
        <is>
          <t>Upper bound: 3 x 51 joined rows + session; 13 measured with few cases</t>
        </is>
      </c>
      <c r="E18" s="2" t="inlineStr">
        <is>
          <t>derived bound</t>
        </is>
      </c>
    </row>
    <row r="19">
      <c r="A19" s="2" t="inlineStr">
        <is>
          <t>D1 rows written per agent refresh</t>
        </is>
      </c>
      <c r="B19" s="4" t="n">
        <v>3</v>
      </c>
      <c r="C19" s="2" t="inlineStr">
        <is>
          <t>rows/refresh</t>
        </is>
      </c>
      <c r="D19" s="2" t="inlineStr">
        <is>
          <t>budget test, local D1</t>
        </is>
      </c>
      <c r="E19" s="2" t="inlineStr">
        <is>
          <t>measured locally</t>
        </is>
      </c>
    </row>
    <row r="20">
      <c r="A20" s="2" t="inlineStr">
        <is>
          <t>Stored bytes per case, typical 77-character statement</t>
        </is>
      </c>
      <c r="B20" s="4" t="n">
        <v>367</v>
      </c>
      <c r="C20" s="2" t="inlineStr">
        <is>
          <t>bytes</t>
        </is>
      </c>
      <c r="D20" s="2" t="inlineStr">
        <is>
          <t>SQLite with the Worker migrations, 10,000 cases, after VACUUM</t>
        </is>
      </c>
      <c r="E20" s="2" t="inlineStr">
        <is>
          <t>measured locally</t>
        </is>
      </c>
    </row>
    <row r="21">
      <c r="A21" s="2" t="inlineStr">
        <is>
          <t>Stored bytes per case, 2,000-character statement</t>
        </is>
      </c>
      <c r="B21" s="4" t="n">
        <v>4268</v>
      </c>
      <c r="C21" s="2" t="inlineStr">
        <is>
          <t>bytes</t>
        </is>
      </c>
      <c r="D21" s="2" t="inlineStr">
        <is>
          <t>Same method, worst case</t>
        </is>
      </c>
      <c r="E21" s="2" t="inlineStr">
        <is>
          <t>measured locally</t>
        </is>
      </c>
    </row>
    <row r="22">
      <c r="A22" s="2" t="inlineStr">
        <is>
          <t>Worker CPU per request</t>
        </is>
      </c>
      <c r="B22" s="4" t="n">
        <v>5</v>
      </c>
      <c r="C22" s="2" t="inlineStr">
        <is>
          <t>ms</t>
        </is>
      </c>
      <c r="D22" s="2" t="inlineStr">
        <is>
          <t>Not measured; read the real value from Workers analytics after deploy</t>
        </is>
      </c>
      <c r="E22" s="2" t="inlineStr">
        <is>
          <t>assumption</t>
        </is>
      </c>
    </row>
    <row r="23">
      <c r="A23" s="2" t="inlineStr">
        <is>
          <t>Workers Free: requests per day</t>
        </is>
      </c>
      <c r="B23" s="4" t="n">
        <v>100000</v>
      </c>
      <c r="C23" s="2" t="inlineStr">
        <is>
          <t>requests/day</t>
        </is>
      </c>
      <c r="D23" s="2" t="inlineStr">
        <is>
          <t>developers.cloudflare.com/workers/platform/pricing</t>
        </is>
      </c>
      <c r="E23" s="2" t="inlineStr">
        <is>
          <t>official limit</t>
        </is>
      </c>
    </row>
    <row r="24">
      <c r="A24" s="2" t="inlineStr">
        <is>
          <t>Workers Free: CPU per request</t>
        </is>
      </c>
      <c r="B24" s="4" t="n">
        <v>10</v>
      </c>
      <c r="C24" s="2" t="inlineStr">
        <is>
          <t>ms</t>
        </is>
      </c>
      <c r="D24" s="2" t="inlineStr">
        <is>
          <t>same</t>
        </is>
      </c>
      <c r="E24" s="2" t="inlineStr">
        <is>
          <t>official limit</t>
        </is>
      </c>
    </row>
    <row r="25">
      <c r="A25" s="2" t="inlineStr">
        <is>
          <t>D1 Free: rows read per day</t>
        </is>
      </c>
      <c r="B25" s="4" t="n">
        <v>5000000</v>
      </c>
      <c r="C25" s="2" t="inlineStr">
        <is>
          <t>rows/day</t>
        </is>
      </c>
      <c r="D25" s="2" t="inlineStr">
        <is>
          <t>same</t>
        </is>
      </c>
      <c r="E25" s="2" t="inlineStr">
        <is>
          <t>official limit</t>
        </is>
      </c>
    </row>
    <row r="26">
      <c r="A26" s="2" t="inlineStr">
        <is>
          <t>D1 Free: rows written per day</t>
        </is>
      </c>
      <c r="B26" s="4" t="n">
        <v>100000</v>
      </c>
      <c r="C26" s="2" t="inlineStr">
        <is>
          <t>rows/day</t>
        </is>
      </c>
      <c r="D26" s="2" t="inlineStr">
        <is>
          <t>same</t>
        </is>
      </c>
      <c r="E26" s="2" t="inlineStr">
        <is>
          <t>official limit</t>
        </is>
      </c>
    </row>
    <row r="27">
      <c r="A27" s="2" t="inlineStr">
        <is>
          <t>D1 Free: max database size</t>
        </is>
      </c>
      <c r="B27" s="4" t="n">
        <v>500</v>
      </c>
      <c r="C27" s="2" t="inlineStr">
        <is>
          <t>MB</t>
        </is>
      </c>
      <c r="D27" s="2" t="inlineStr">
        <is>
          <t>developers.cloudflare.com/d1/platform/limits</t>
        </is>
      </c>
      <c r="E27" s="2" t="inlineStr">
        <is>
          <t>official limit</t>
        </is>
      </c>
    </row>
    <row r="28">
      <c r="A28" s="2" t="inlineStr">
        <is>
          <t>D1 Free: queries per Worker invocation</t>
        </is>
      </c>
      <c r="B28" s="4" t="n">
        <v>50</v>
      </c>
      <c r="C28" s="2" t="inlineStr">
        <is>
          <t>queries</t>
        </is>
      </c>
      <c r="D28" s="2" t="inlineStr">
        <is>
          <t>same</t>
        </is>
      </c>
      <c r="E28" s="2" t="inlineStr">
        <is>
          <t>official limit</t>
        </is>
      </c>
    </row>
    <row r="29">
      <c r="A29" s="2" t="inlineStr">
        <is>
          <t>Upgrade trigger: share of any daily Free limit</t>
        </is>
      </c>
      <c r="B29" s="4" t="n">
        <v>0.7</v>
      </c>
      <c r="C29" s="2" t="inlineStr">
        <is>
          <t>share</t>
        </is>
      </c>
      <c r="D29" s="2" t="inlineStr">
        <is>
          <t>ADR-004 decision; sustained 3 days</t>
        </is>
      </c>
      <c r="E29" s="2" t="inlineStr">
        <is>
          <t>decision</t>
        </is>
      </c>
    </row>
    <row r="30">
      <c r="A30" s="2" t="inlineStr">
        <is>
          <t>Workers Paid base</t>
        </is>
      </c>
      <c r="B30" s="4" t="n">
        <v>5</v>
      </c>
      <c r="C30" s="2" t="inlineStr">
        <is>
          <t>USD/month</t>
        </is>
      </c>
      <c r="D30" s="2" t="inlineStr">
        <is>
          <t>Workers pricing</t>
        </is>
      </c>
      <c r="E30" s="2" t="inlineStr">
        <is>
          <t>official price</t>
        </is>
      </c>
    </row>
    <row r="31">
      <c r="A31" s="2" t="inlineStr">
        <is>
          <t>Paid: included requests</t>
        </is>
      </c>
      <c r="B31" s="4" t="n">
        <v>10000000</v>
      </c>
      <c r="C31" s="2" t="inlineStr">
        <is>
          <t>requests/month</t>
        </is>
      </c>
      <c r="D31" s="2" t="inlineStr">
        <is>
          <t>same</t>
        </is>
      </c>
      <c r="E31" s="2" t="inlineStr">
        <is>
          <t>official price</t>
        </is>
      </c>
    </row>
    <row r="32">
      <c r="A32" s="2" t="inlineStr">
        <is>
          <t>Paid: extra requests</t>
        </is>
      </c>
      <c r="B32" s="4" t="n">
        <v>0.3</v>
      </c>
      <c r="C32" s="2" t="inlineStr">
        <is>
          <t>USD/million</t>
        </is>
      </c>
      <c r="D32" s="2" t="inlineStr">
        <is>
          <t>same</t>
        </is>
      </c>
      <c r="E32" s="2" t="inlineStr">
        <is>
          <t>official price</t>
        </is>
      </c>
    </row>
    <row r="33">
      <c r="A33" s="2" t="inlineStr">
        <is>
          <t>Paid: included CPU</t>
        </is>
      </c>
      <c r="B33" s="4" t="n">
        <v>30000000</v>
      </c>
      <c r="C33" s="2" t="inlineStr">
        <is>
          <t>ms/month</t>
        </is>
      </c>
      <c r="D33" s="2" t="inlineStr">
        <is>
          <t>same</t>
        </is>
      </c>
      <c r="E33" s="2" t="inlineStr">
        <is>
          <t>official price</t>
        </is>
      </c>
    </row>
    <row r="34">
      <c r="A34" s="2" t="inlineStr">
        <is>
          <t>Paid: extra CPU</t>
        </is>
      </c>
      <c r="B34" s="4" t="n">
        <v>0.02</v>
      </c>
      <c r="C34" s="2" t="inlineStr">
        <is>
          <t>USD/million ms</t>
        </is>
      </c>
      <c r="D34" s="2" t="inlineStr">
        <is>
          <t>same</t>
        </is>
      </c>
      <c r="E34" s="2" t="inlineStr">
        <is>
          <t>official price</t>
        </is>
      </c>
    </row>
    <row r="35">
      <c r="A35" s="2" t="inlineStr">
        <is>
          <t>Paid: included D1 rows read</t>
        </is>
      </c>
      <c r="B35" s="4" t="n">
        <v>25000000000</v>
      </c>
      <c r="C35" s="2" t="inlineStr">
        <is>
          <t>rows/month</t>
        </is>
      </c>
      <c r="D35" s="2" t="inlineStr">
        <is>
          <t>same</t>
        </is>
      </c>
      <c r="E35" s="2" t="inlineStr">
        <is>
          <t>official price</t>
        </is>
      </c>
    </row>
    <row r="36">
      <c r="A36" s="2" t="inlineStr">
        <is>
          <t>Paid: extra D1 rows read</t>
        </is>
      </c>
      <c r="B36" s="4" t="n">
        <v>0.001</v>
      </c>
      <c r="C36" s="2" t="inlineStr">
        <is>
          <t>USD/million</t>
        </is>
      </c>
      <c r="D36" s="2" t="inlineStr">
        <is>
          <t>same</t>
        </is>
      </c>
      <c r="E36" s="2" t="inlineStr">
        <is>
          <t>official price</t>
        </is>
      </c>
    </row>
    <row r="37">
      <c r="A37" s="2" t="inlineStr">
        <is>
          <t>Paid: included D1 rows written</t>
        </is>
      </c>
      <c r="B37" s="4" t="n">
        <v>50000000</v>
      </c>
      <c r="C37" s="2" t="inlineStr">
        <is>
          <t>rows/month</t>
        </is>
      </c>
      <c r="D37" s="2" t="inlineStr">
        <is>
          <t>same</t>
        </is>
      </c>
      <c r="E37" s="2" t="inlineStr">
        <is>
          <t>official price</t>
        </is>
      </c>
    </row>
    <row r="38">
      <c r="A38" s="2" t="inlineStr">
        <is>
          <t>Paid: extra D1 rows written</t>
        </is>
      </c>
      <c r="B38" s="4" t="n">
        <v>1</v>
      </c>
      <c r="C38" s="2" t="inlineStr">
        <is>
          <t>USD/million</t>
        </is>
      </c>
      <c r="D38" s="2" t="inlineStr">
        <is>
          <t>same</t>
        </is>
      </c>
      <c r="E38" s="2" t="inlineStr">
        <is>
          <t>official price</t>
        </is>
      </c>
    </row>
    <row r="39">
      <c r="A39" s="2" t="inlineStr">
        <is>
          <t>AWS Lambda requests</t>
        </is>
      </c>
      <c r="B39" s="4" t="n">
        <v>0.2</v>
      </c>
      <c r="C39" s="2" t="inlineStr">
        <is>
          <t>USD/million</t>
        </is>
      </c>
      <c r="D39" s="2" t="inlineStr">
        <is>
          <t>aws.amazon.com/lambda/pricing</t>
        </is>
      </c>
      <c r="E39" s="2" t="inlineStr">
        <is>
          <t>official price</t>
        </is>
      </c>
    </row>
    <row r="40">
      <c r="A40" s="2" t="inlineStr">
        <is>
          <t>AWS Lambda compute (x86)</t>
        </is>
      </c>
      <c r="B40" s="4" t="n">
        <v>1.66667e-05</v>
      </c>
      <c r="C40" s="2" t="inlineStr">
        <is>
          <t>USD/GB-s</t>
        </is>
      </c>
      <c r="D40" s="2" t="inlineStr">
        <is>
          <t>same</t>
        </is>
      </c>
      <c r="E40" s="2" t="inlineStr">
        <is>
          <t>official price</t>
        </is>
      </c>
    </row>
    <row r="41">
      <c r="A41" s="2" t="inlineStr">
        <is>
          <t>Lambda always-free requests</t>
        </is>
      </c>
      <c r="B41" s="4" t="n">
        <v>1000000</v>
      </c>
      <c r="C41" s="2" t="inlineStr">
        <is>
          <t>requests/month</t>
        </is>
      </c>
      <c r="D41" s="2" t="inlineStr">
        <is>
          <t>same</t>
        </is>
      </c>
      <c r="E41" s="2" t="inlineStr">
        <is>
          <t>official price</t>
        </is>
      </c>
    </row>
    <row r="42">
      <c r="A42" s="2" t="inlineStr">
        <is>
          <t>Lambda always-free compute</t>
        </is>
      </c>
      <c r="B42" s="4" t="n">
        <v>400000</v>
      </c>
      <c r="C42" s="2" t="inlineStr">
        <is>
          <t>GB-s/month</t>
        </is>
      </c>
      <c r="D42" s="2" t="inlineStr">
        <is>
          <t>same</t>
        </is>
      </c>
      <c r="E42" s="2" t="inlineStr">
        <is>
          <t>official price</t>
        </is>
      </c>
    </row>
    <row r="43">
      <c r="A43" s="2" t="inlineStr">
        <is>
          <t>Lambda memory</t>
        </is>
      </c>
      <c r="B43" s="4" t="n">
        <v>0.5</v>
      </c>
      <c r="C43" s="2" t="inlineStr">
        <is>
          <t>GB</t>
        </is>
      </c>
      <c r="D43" s="2" t="inlineStr">
        <is>
          <t>Sizing assumption</t>
        </is>
      </c>
      <c r="E43" s="2" t="inlineStr">
        <is>
          <t>assumption</t>
        </is>
      </c>
    </row>
    <row r="44">
      <c r="A44" s="2" t="inlineStr">
        <is>
          <t>Lambda duration per request</t>
        </is>
      </c>
      <c r="B44" s="4" t="n">
        <v>0.1</v>
      </c>
      <c r="C44" s="2" t="inlineStr">
        <is>
          <t>s</t>
        </is>
      </c>
      <c r="D44" s="2" t="inlineStr">
        <is>
          <t>Not measured</t>
        </is>
      </c>
      <c r="E44" s="2" t="inlineStr">
        <is>
          <t>assumption</t>
        </is>
      </c>
    </row>
    <row r="45">
      <c r="A45" s="2" t="inlineStr">
        <is>
          <t>API Gateway HTTP API</t>
        </is>
      </c>
      <c r="B45" s="4" t="n">
        <v>1</v>
      </c>
      <c r="C45" s="2" t="inlineStr">
        <is>
          <t>USD/million</t>
        </is>
      </c>
      <c r="D45" s="2" t="inlineStr">
        <is>
          <t>aws.amazon.com/api-gateway/pricing (1M/month free for 12 months, not applied)</t>
        </is>
      </c>
      <c r="E45" s="2" t="inlineStr">
        <is>
          <t>official price</t>
        </is>
      </c>
    </row>
    <row r="46">
      <c r="A46" s="2" t="inlineStr">
        <is>
          <t>DynamoDB on-demand writes</t>
        </is>
      </c>
      <c r="B46" s="4" t="n">
        <v>0.625</v>
      </c>
      <c r="C46" s="2" t="inlineStr">
        <is>
          <t>USD/million WRU</t>
        </is>
      </c>
      <c r="D46" s="2" t="inlineStr">
        <is>
          <t>aws.amazon.com/dynamodb/pricing/on-demand</t>
        </is>
      </c>
      <c r="E46" s="2" t="inlineStr">
        <is>
          <t>official price</t>
        </is>
      </c>
    </row>
    <row r="47">
      <c r="A47" s="2" t="inlineStr">
        <is>
          <t>DynamoDB on-demand reads</t>
        </is>
      </c>
      <c r="B47" s="4" t="n">
        <v>0.125</v>
      </c>
      <c r="C47" s="2" t="inlineStr">
        <is>
          <t>USD/million RRU</t>
        </is>
      </c>
      <c r="D47" s="2" t="inlineStr">
        <is>
          <t>same</t>
        </is>
      </c>
      <c r="E47" s="2" t="inlineStr">
        <is>
          <t>official price</t>
        </is>
      </c>
    </row>
    <row r="48">
      <c r="A48" s="2" t="inlineStr">
        <is>
          <t>RRU per D1 row read (eventually consistent, &lt;4 KB)</t>
        </is>
      </c>
      <c r="B48" s="4" t="n">
        <v>0.5</v>
      </c>
      <c r="C48" s="2" t="inlineStr">
        <is>
          <t>RRU/row</t>
        </is>
      </c>
      <c r="D48" s="2" t="inlineStr">
        <is>
          <t>Mapping assumption from the D1 row model</t>
        </is>
      </c>
      <c r="E48" s="2" t="inlineStr">
        <is>
          <t>assumption</t>
        </is>
      </c>
    </row>
    <row r="49">
      <c r="A49" s="2" t="inlineStr">
        <is>
          <t>NAT gateway</t>
        </is>
      </c>
      <c r="B49" s="4" t="n">
        <v>0.045</v>
      </c>
      <c r="C49" s="2" t="inlineStr">
        <is>
          <t>USD/hour</t>
        </is>
      </c>
      <c r="D49" s="2" t="inlineStr">
        <is>
          <t>aws.amazon.com/vpc/pricing</t>
        </is>
      </c>
      <c r="E49" s="2" t="inlineStr">
        <is>
          <t>official price</t>
        </is>
      </c>
    </row>
    <row r="50">
      <c r="A50" s="2" t="inlineStr">
        <is>
          <t>Public IPv4 address</t>
        </is>
      </c>
      <c r="B50" s="4" t="n">
        <v>0.005</v>
      </c>
      <c r="C50" s="2" t="inlineStr">
        <is>
          <t>USD/hour</t>
        </is>
      </c>
      <c r="D50" s="2" t="inlineStr">
        <is>
          <t>same</t>
        </is>
      </c>
      <c r="E50" s="2" t="inlineStr">
        <is>
          <t>official price</t>
        </is>
      </c>
    </row>
    <row r="51">
      <c r="A51" s="2" t="inlineStr">
        <is>
          <t>RDS PostgreSQL db.t4g.micro, Single-AZ, on-demand</t>
        </is>
      </c>
      <c r="B51" s="4" t="n">
        <v>11.68</v>
      </c>
      <c r="C51" s="2" t="inlineStr">
        <is>
          <t>USD/month</t>
        </is>
      </c>
      <c r="D51" s="2" t="inlineStr">
        <is>
          <t>Indicative: price not shown on the fetched page; confirm in the AWS Pricing Calculator</t>
        </is>
      </c>
      <c r="E51" s="2" t="inlineStr">
        <is>
          <t>indicative</t>
        </is>
      </c>
    </row>
    <row r="52">
      <c r="A52" s="2" t="inlineStr">
        <is>
          <t>RDS 20 GB general-purpose storage</t>
        </is>
      </c>
      <c r="B52" s="4" t="n">
        <v>2.3</v>
      </c>
      <c r="C52" s="2" t="inlineStr">
        <is>
          <t>USD/month</t>
        </is>
      </c>
      <c r="D52" s="2" t="inlineStr">
        <is>
          <t>Indicative; confirm in the AWS Pricing Calculator</t>
        </is>
      </c>
      <c r="E52" s="2" t="inlineStr">
        <is>
          <t>indicative</t>
        </is>
      </c>
    </row>
    <row r="53">
      <c r="A53" s="2" t="inlineStr">
        <is>
          <t>Hours per month</t>
        </is>
      </c>
      <c r="B53" s="4" t="n">
        <v>730</v>
      </c>
      <c r="C53" s="2" t="inlineStr">
        <is>
          <t>hours</t>
        </is>
      </c>
      <c r="D53" s="2" t="inlineStr">
        <is>
          <t>AWS billing convention</t>
        </is>
      </c>
      <c r="E53" s="2" t="inlineStr">
        <is>
          <t>fact</t>
        </is>
      </c>
    </row>
    <row r="54">
      <c r="A54" s="2" t="inlineStr">
        <is>
          <t>Future AI input tokens per episode</t>
        </is>
      </c>
      <c r="B54" s="4" t="n">
        <v>12000</v>
      </c>
      <c r="C54" s="2" t="inlineStr">
        <is>
          <t>tokens</t>
        </is>
      </c>
      <c r="D54" s="2" t="inlineStr">
        <is>
          <t>Not measured; no model runs in the MVP (ADR-002)</t>
        </is>
      </c>
      <c r="E54" s="2" t="inlineStr">
        <is>
          <t>assumption</t>
        </is>
      </c>
    </row>
    <row r="55">
      <c r="A55" s="2" t="inlineStr">
        <is>
          <t>Future AI output tokens per episode</t>
        </is>
      </c>
      <c r="B55" s="4" t="n">
        <v>2000</v>
      </c>
      <c r="C55" s="2" t="inlineStr">
        <is>
          <t>tokens</t>
        </is>
      </c>
      <c r="D55" s="2" t="inlineStr">
        <is>
          <t>Not measured</t>
        </is>
      </c>
      <c r="E55" s="2" t="inlineStr">
        <is>
          <t>assumption</t>
        </is>
      </c>
    </row>
    <row r="56">
      <c r="A56" s="2" t="inlineStr">
        <is>
          <t>Workers AI free allocation</t>
        </is>
      </c>
      <c r="B56" s="4" t="n">
        <v>10000</v>
      </c>
      <c r="C56" s="2" t="inlineStr">
        <is>
          <t>neurons/day</t>
        </is>
      </c>
      <c r="D56" s="2" t="inlineStr">
        <is>
          <t>developers.cloudflare.com/workers-ai/platform/pricing</t>
        </is>
      </c>
      <c r="E56" s="2" t="inlineStr">
        <is>
          <t>official price</t>
        </is>
      </c>
    </row>
    <row r="57">
      <c r="A57" s="2" t="inlineStr">
        <is>
          <t>Workers AI beyond the allocation</t>
        </is>
      </c>
      <c r="B57" s="4" t="n">
        <v>0.011</v>
      </c>
      <c r="C57" s="2" t="inlineStr">
        <is>
          <t>USD/1,000 neurons</t>
        </is>
      </c>
      <c r="D57" s="2" t="inlineStr">
        <is>
          <t>same</t>
        </is>
      </c>
      <c r="E57" s="2" t="inlineStr">
        <is>
          <t>official price</t>
        </is>
      </c>
    </row>
    <row r="58">
      <c r="A58" s="2" t="inlineStr">
        <is>
          <t>gpt-oss-20b input</t>
        </is>
      </c>
      <c r="B58" s="4" t="n">
        <v>18182</v>
      </c>
      <c r="C58" s="2" t="inlineStr">
        <is>
          <t>neurons/M tokens</t>
        </is>
      </c>
      <c r="D58" s="2" t="inlineStr">
        <is>
          <t>same</t>
        </is>
      </c>
      <c r="E58" s="2" t="inlineStr">
        <is>
          <t>official price</t>
        </is>
      </c>
    </row>
    <row r="59">
      <c r="A59" s="2" t="inlineStr">
        <is>
          <t>gpt-oss-20b output</t>
        </is>
      </c>
      <c r="B59" s="4" t="n">
        <v>27273</v>
      </c>
      <c r="C59" s="2" t="inlineStr">
        <is>
          <t>neurons/M tokens</t>
        </is>
      </c>
      <c r="D59" s="2" t="inlineStr">
        <is>
          <t>same</t>
        </is>
      </c>
      <c r="E59" s="2" t="inlineStr">
        <is>
          <t>official price</t>
        </is>
      </c>
    </row>
    <row r="60">
      <c r="A60" s="2" t="inlineStr">
        <is>
          <t>llama-3.3-70b-instruct-fp8-fast input</t>
        </is>
      </c>
      <c r="B60" s="4" t="n">
        <v>26668</v>
      </c>
      <c r="C60" s="2" t="inlineStr">
        <is>
          <t>neurons/M tokens</t>
        </is>
      </c>
      <c r="D60" s="2" t="inlineStr">
        <is>
          <t>same</t>
        </is>
      </c>
      <c r="E60" s="2" t="inlineStr">
        <is>
          <t>official price</t>
        </is>
      </c>
    </row>
    <row r="61">
      <c r="A61" s="2" t="inlineStr">
        <is>
          <t>llama-3.3-70b-instruct-fp8-fast output</t>
        </is>
      </c>
      <c r="B61" s="4" t="n">
        <v>204805</v>
      </c>
      <c r="C61" s="2" t="inlineStr">
        <is>
          <t>neurons/M tokens</t>
        </is>
      </c>
      <c r="D61" s="2" t="inlineStr">
        <is>
          <t>same</t>
        </is>
      </c>
      <c r="E61" s="2" t="inlineStr">
        <is>
          <t>official price</t>
        </is>
      </c>
    </row>
    <row r="62">
      <c r="A62" s="2" t="inlineStr">
        <is>
          <t>Claude Haiku 4.5 input</t>
        </is>
      </c>
      <c r="B62" s="4" t="n">
        <v>1</v>
      </c>
      <c r="C62" s="2" t="inlineStr">
        <is>
          <t>USD/M tokens</t>
        </is>
      </c>
      <c r="D62" s="2" t="inlineStr">
        <is>
          <t>Anthropic API list price</t>
        </is>
      </c>
      <c r="E62" s="2" t="inlineStr">
        <is>
          <t>official price</t>
        </is>
      </c>
    </row>
    <row r="63">
      <c r="A63" s="2" t="inlineStr">
        <is>
          <t>Claude Haiku 4.5 output</t>
        </is>
      </c>
      <c r="B63" s="4" t="n">
        <v>5</v>
      </c>
      <c r="C63" s="2" t="inlineStr">
        <is>
          <t>USD/M tokens</t>
        </is>
      </c>
      <c r="D63" s="2" t="inlineStr">
        <is>
          <t>same</t>
        </is>
      </c>
      <c r="E63" s="2" t="inlineStr">
        <is>
          <t>official price</t>
        </is>
      </c>
    </row>
    <row r="64">
      <c r="A64" s="2" t="inlineStr">
        <is>
          <t>Claude Sonnet 5 input</t>
        </is>
      </c>
      <c r="B64" s="4" t="n">
        <v>2</v>
      </c>
      <c r="C64" s="2" t="inlineStr">
        <is>
          <t>USD/M tokens</t>
        </is>
      </c>
      <c r="D64" s="2" t="inlineStr">
        <is>
          <t>same</t>
        </is>
      </c>
      <c r="E64" s="2" t="inlineStr">
        <is>
          <t>official price</t>
        </is>
      </c>
    </row>
    <row r="65">
      <c r="A65" s="2" t="inlineStr">
        <is>
          <t>Claude Sonnet 5 output</t>
        </is>
      </c>
      <c r="B65" s="4" t="n">
        <v>10</v>
      </c>
      <c r="C65" s="2" t="inlineStr">
        <is>
          <t>USD/M tokens</t>
        </is>
      </c>
      <c r="D65" s="2" t="inlineStr">
        <is>
          <t>same</t>
        </is>
      </c>
      <c r="E65" s="2" t="inlineStr">
        <is>
          <t>official price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3" customWidth="1" min="9" max="9"/>
    <col width="16" customWidth="1" min="10" max="10"/>
    <col width="18" customWidth="1" min="11" max="11"/>
    <col width="12" customWidth="1" min="12" max="12"/>
    <col width="16" customWidth="1" min="13" max="13"/>
    <col width="18" customWidth="1" min="14" max="14"/>
  </cols>
  <sheetData>
    <row r="1" ht="30" customHeight="1">
      <c r="A1" s="1" t="inlineStr">
        <is>
          <t>Workers + D1 Free: daily usage per scenario and binding constraint</t>
        </is>
      </c>
    </row>
    <row r="2">
      <c r="A2" s="5" t="inlineStr">
        <is>
          <t>A customer episode plus one agent refresh per case. Utilization above the trigger means Workers Paid.</t>
        </is>
      </c>
    </row>
    <row r="4" ht="30" customHeight="1">
      <c r="A4" s="3" t="inlineStr">
        <is>
          <t>Scenario</t>
        </is>
      </c>
      <c r="B4" s="3" t="inlineStr">
        <is>
          <t>Episodes/day</t>
        </is>
      </c>
      <c r="C4" s="3" t="inlineStr">
        <is>
          <t>Worker requests/day</t>
        </is>
      </c>
      <c r="D4" s="3" t="inlineStr">
        <is>
          <t>% of 100k requests</t>
        </is>
      </c>
      <c r="E4" s="3" t="inlineStr">
        <is>
          <t>D1 rows read/day</t>
        </is>
      </c>
      <c r="F4" s="3" t="inlineStr">
        <is>
          <t>% of 5M reads</t>
        </is>
      </c>
      <c r="G4" s="3" t="inlineStr">
        <is>
          <t>D1 rows written/day</t>
        </is>
      </c>
      <c r="H4" s="3" t="inlineStr">
        <is>
          <t>% of 100k writes</t>
        </is>
      </c>
      <c r="I4" s="3" t="inlineStr">
        <is>
          <t>Highest utilization</t>
        </is>
      </c>
      <c r="J4" s="3" t="inlineStr">
        <is>
          <t>Within daily Free limits?</t>
        </is>
      </c>
      <c r="K4" s="3" t="inlineStr">
        <is>
          <t>Cases stored by 2026-10-31 (MB, typical)</t>
        </is>
      </c>
      <c r="L4" s="3" t="inlineStr">
        <is>
          <t>Peak D1 writes/s</t>
        </is>
      </c>
      <c r="M4" s="3" t="inlineStr">
        <is>
          <t>Upgrade policy (&gt; trigger)?</t>
        </is>
      </c>
      <c r="N4" s="3" t="inlineStr">
        <is>
          <t>Share of 500 MB by 2026-10-31 (2,000-char cases)</t>
        </is>
      </c>
    </row>
    <row r="5">
      <c r="A5" s="2" t="inlineStr">
        <is>
          <t>S1</t>
        </is>
      </c>
      <c r="B5" s="6">
        <f>Inputs!$B$4</f>
        <v/>
      </c>
      <c r="C5" s="6">
        <f>B5*(Inputs!$B$11+Inputs!$B$12+Inputs!$B$17*Inputs!$B$16)</f>
        <v/>
      </c>
      <c r="D5" s="7">
        <f>C5/Inputs!$B$23</f>
        <v/>
      </c>
      <c r="E5" s="6">
        <f>B5*(Inputs!$B$14+Inputs!$B$18*Inputs!$B$16)</f>
        <v/>
      </c>
      <c r="F5" s="7">
        <f>E5/Inputs!$B$25</f>
        <v/>
      </c>
      <c r="G5" s="6">
        <f>B5*(Inputs!$B$15+Inputs!$B$19*Inputs!$B$16)</f>
        <v/>
      </c>
      <c r="H5" s="7">
        <f>G5/Inputs!$B$26</f>
        <v/>
      </c>
      <c r="I5" s="7">
        <f>MAX(D5,F5,H5)</f>
        <v/>
      </c>
      <c r="J5" s="2">
        <f>IF(I5&lt;=1,"yes","no: exceeds Free")</f>
        <v/>
      </c>
      <c r="K5" s="8">
        <f>B5*Inputs!$B$8*Inputs!$B$20/1000000</f>
        <v/>
      </c>
      <c r="L5" s="9">
        <f>G5/86400*Inputs!$B$10</f>
        <v/>
      </c>
      <c r="M5" s="2">
        <f>IF(I5&gt;Inputs!$B$29,"yes: move to Paid","no")</f>
        <v/>
      </c>
      <c r="N5" s="7">
        <f>B5*Inputs!$B$8*Inputs!$B$21/(Inputs!$B$27*1000000)</f>
        <v/>
      </c>
    </row>
    <row r="6">
      <c r="A6" s="2" t="inlineStr">
        <is>
          <t>S2</t>
        </is>
      </c>
      <c r="B6" s="6">
        <f>Inputs!$B$5</f>
        <v/>
      </c>
      <c r="C6" s="6">
        <f>B6*(Inputs!$B$11+Inputs!$B$12+Inputs!$B$17*Inputs!$B$16)</f>
        <v/>
      </c>
      <c r="D6" s="7">
        <f>C6/Inputs!$B$23</f>
        <v/>
      </c>
      <c r="E6" s="6">
        <f>B6*(Inputs!$B$14+Inputs!$B$18*Inputs!$B$16)</f>
        <v/>
      </c>
      <c r="F6" s="7">
        <f>E6/Inputs!$B$25</f>
        <v/>
      </c>
      <c r="G6" s="6">
        <f>B6*(Inputs!$B$15+Inputs!$B$19*Inputs!$B$16)</f>
        <v/>
      </c>
      <c r="H6" s="7">
        <f>G6/Inputs!$B$26</f>
        <v/>
      </c>
      <c r="I6" s="7">
        <f>MAX(D6,F6,H6)</f>
        <v/>
      </c>
      <c r="J6" s="2">
        <f>IF(I6&lt;=1,"yes","no: exceeds Free")</f>
        <v/>
      </c>
      <c r="K6" s="8">
        <f>B6*Inputs!$B$8*Inputs!$B$20/1000000</f>
        <v/>
      </c>
      <c r="L6" s="9">
        <f>G6/86400*Inputs!$B$10</f>
        <v/>
      </c>
      <c r="M6" s="2">
        <f>IF(I6&gt;Inputs!$B$29,"yes: move to Paid","no")</f>
        <v/>
      </c>
      <c r="N6" s="7">
        <f>B6*Inputs!$B$8*Inputs!$B$21/(Inputs!$B$27*1000000)</f>
        <v/>
      </c>
    </row>
    <row r="7">
      <c r="A7" s="2" t="inlineStr">
        <is>
          <t>S3</t>
        </is>
      </c>
      <c r="B7" s="6">
        <f>Inputs!$B$6</f>
        <v/>
      </c>
      <c r="C7" s="6">
        <f>B7*(Inputs!$B$11+Inputs!$B$12+Inputs!$B$17*Inputs!$B$16)</f>
        <v/>
      </c>
      <c r="D7" s="7">
        <f>C7/Inputs!$B$23</f>
        <v/>
      </c>
      <c r="E7" s="6">
        <f>B7*(Inputs!$B$14+Inputs!$B$18*Inputs!$B$16)</f>
        <v/>
      </c>
      <c r="F7" s="7">
        <f>E7/Inputs!$B$25</f>
        <v/>
      </c>
      <c r="G7" s="6">
        <f>B7*(Inputs!$B$15+Inputs!$B$19*Inputs!$B$16)</f>
        <v/>
      </c>
      <c r="H7" s="7">
        <f>G7/Inputs!$B$26</f>
        <v/>
      </c>
      <c r="I7" s="7">
        <f>MAX(D7,F7,H7)</f>
        <v/>
      </c>
      <c r="J7" s="2">
        <f>IF(I7&lt;=1,"yes","no: exceeds Free")</f>
        <v/>
      </c>
      <c r="K7" s="8">
        <f>B7*Inputs!$B$8*Inputs!$B$20/1000000</f>
        <v/>
      </c>
      <c r="L7" s="9">
        <f>G7/86400*Inputs!$B$10</f>
        <v/>
      </c>
      <c r="M7" s="2">
        <f>IF(I7&gt;Inputs!$B$29,"yes: move to Paid","no")</f>
        <v/>
      </c>
      <c r="N7" s="7">
        <f>B7*Inputs!$B$8*Inputs!$B$21/(Inputs!$B$27*1000000)</f>
        <v/>
      </c>
    </row>
    <row r="8">
      <c r="A8" s="2" t="inlineStr">
        <is>
          <t>S4</t>
        </is>
      </c>
      <c r="B8" s="6">
        <f>Inputs!$B$7</f>
        <v/>
      </c>
      <c r="C8" s="6">
        <f>B8*(Inputs!$B$11+Inputs!$B$12+Inputs!$B$17*Inputs!$B$16)</f>
        <v/>
      </c>
      <c r="D8" s="7">
        <f>C8/Inputs!$B$23</f>
        <v/>
      </c>
      <c r="E8" s="6">
        <f>B8*(Inputs!$B$14+Inputs!$B$18*Inputs!$B$16)</f>
        <v/>
      </c>
      <c r="F8" s="7">
        <f>E8/Inputs!$B$25</f>
        <v/>
      </c>
      <c r="G8" s="6">
        <f>B8*(Inputs!$B$15+Inputs!$B$19*Inputs!$B$16)</f>
        <v/>
      </c>
      <c r="H8" s="7">
        <f>G8/Inputs!$B$26</f>
        <v/>
      </c>
      <c r="I8" s="7">
        <f>MAX(D8,F8,H8)</f>
        <v/>
      </c>
      <c r="J8" s="2">
        <f>IF(I8&lt;=1,"yes","no: exceeds Free")</f>
        <v/>
      </c>
      <c r="K8" s="8">
        <f>B8*Inputs!$B$8*Inputs!$B$20/1000000</f>
        <v/>
      </c>
      <c r="L8" s="9">
        <f>G8/86400*Inputs!$B$10</f>
        <v/>
      </c>
      <c r="M8" s="2">
        <f>IF(I8&gt;Inputs!$B$29,"yes: move to Paid","no")</f>
        <v/>
      </c>
      <c r="N8" s="7">
        <f>B8*Inputs!$B$8*Inputs!$B$21/(Inputs!$B$27*1000000)</f>
        <v/>
      </c>
    </row>
    <row r="10">
      <c r="A10" s="10" t="inlineStr">
        <is>
          <t>Daily-quota bound (episodes/day)</t>
        </is>
      </c>
      <c r="B10" s="11">
        <f>MIN(Inputs!$B$23/(Inputs!$B$11+Inputs!$B$12+Inputs!$B$17*Inputs!$B$16),Inputs!$B$25/(Inputs!$B$14+Inputs!$B$18*Inputs!$B$16),Inputs!$B$26/(Inputs!$B$15+Inputs!$B$19*Inputs!$B$16))</f>
        <v/>
      </c>
    </row>
    <row r="11">
      <c r="A11" s="10" t="inlineStr">
        <is>
          <t>Days until 500 MB at that rate (typical case)</t>
        </is>
      </c>
      <c r="B11" s="11">
        <f>Inputs!$B$27*1000000/(B10*Inputs!$B$20)</f>
        <v/>
      </c>
    </row>
    <row r="12">
      <c r="A12" s="10" t="inlineStr">
        <is>
          <t>Days until 500 MB at that rate (2,000-char cases)</t>
        </is>
      </c>
      <c r="B12" s="12">
        <f>Inputs!$B$27*1000000/(B10*Inputs!$B$21)</f>
        <v/>
      </c>
    </row>
    <row r="13">
      <c r="A13" t="inlineStr">
        <is>
          <t>The daily-quota bound is not a whole-window capacity: storage is cumulative and can bind first.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22" customWidth="1" min="4" max="4"/>
    <col width="28" customWidth="1" min="5" max="5"/>
    <col width="58" customWidth="1" min="6" max="6"/>
  </cols>
  <sheetData>
    <row r="1" ht="30" customHeight="1">
      <c r="A1" s="1" t="inlineStr">
        <is>
          <t>Monthly cost per scenario (USD, before tax)</t>
        </is>
      </c>
    </row>
    <row r="2">
      <c r="A2" s="5" t="inlineStr">
        <is>
          <t>Cloudflare Paid includes its $5 base. The AWS serverless equivalent is API Gateway HTTP + Lambda + DynamoDB on-demand, with CloudFront Free for static files.</t>
        </is>
      </c>
    </row>
    <row r="4" ht="30" customHeight="1">
      <c r="A4" s="3" t="inlineStr">
        <is>
          <t>Scenario</t>
        </is>
      </c>
      <c r="B4" s="3" t="inlineStr">
        <is>
          <t>Cloudflare Free</t>
        </is>
      </c>
      <c r="C4" s="3" t="inlineStr">
        <is>
          <t>Cloudflare Workers Paid</t>
        </is>
      </c>
      <c r="D4" s="3" t="inlineStr">
        <is>
          <t>AWS serverless equivalent</t>
        </is>
      </c>
      <c r="E4" s="3" t="inlineStr">
        <is>
          <t>AWS O4: API + Lambda + RDS + NAT, no DynamoDB (indicative)</t>
        </is>
      </c>
      <c r="F4" s="3" t="inlineStr">
        <is>
          <t>Note</t>
        </is>
      </c>
    </row>
    <row r="5">
      <c r="A5" s="2" t="inlineStr">
        <is>
          <t>S1</t>
        </is>
      </c>
      <c r="B5" s="13">
        <f>IF('Cloudflare capacity'!I5&lt;=1,0,"exceeds Free")</f>
        <v/>
      </c>
      <c r="C5" s="13">
        <f>Inputs!$B$30+MAX(0,'Cloudflare capacity'!C5*Inputs!$B$9-Inputs!$B$31)*Inputs!$B$32/1000000+MAX(0,'Cloudflare capacity'!C5*Inputs!$B$9*Inputs!$B$22-Inputs!$B$33)*Inputs!$B$34/1000000+MAX(0,'Cloudflare capacity'!E5*Inputs!$B$9-Inputs!$B$35)*Inputs!$B$36/1000000+MAX(0,'Cloudflare capacity'!G5*Inputs!$B$9-Inputs!$B$37)*Inputs!$B$38/1000000</f>
        <v/>
      </c>
      <c r="D5" s="13">
        <f>MAX(0,(Inputs!$B$4*(Inputs!$B$12+Inputs!$B$17*Inputs!$B$16)*Inputs!$B$9)-Inputs!$B$41)*Inputs!$B$39/1000000+MAX(0,(Inputs!$B$4*(Inputs!$B$12+Inputs!$B$17*Inputs!$B$16)*Inputs!$B$9)*Inputs!$B$43*Inputs!$B$44-Inputs!$B$42)*Inputs!$B$40+(Inputs!$B$4*(Inputs!$B$12+Inputs!$B$17*Inputs!$B$16)*Inputs!$B$9)*Inputs!$B$45/1000000+'Cloudflare capacity'!G5*Inputs!$B$9*Inputs!$B$46/1000000+'Cloudflare capacity'!E5*Inputs!$B$9*Inputs!$B$48*Inputs!$B$47/1000000</f>
        <v/>
      </c>
      <c r="E5" s="13">
        <f>MAX(0,(Inputs!$B$4*(Inputs!$B$12+Inputs!$B$17*Inputs!$B$16)*Inputs!$B$9)-Inputs!$B$41)*Inputs!$B$39/1000000+MAX(0,(Inputs!$B$4*(Inputs!$B$12+Inputs!$B$17*Inputs!$B$16)*Inputs!$B$9)*Inputs!$B$43*Inputs!$B$44-Inputs!$B$42)*Inputs!$B$40+(Inputs!$B$4*(Inputs!$B$12+Inputs!$B$17*Inputs!$B$16)*Inputs!$B$9)*Inputs!$B$45/1000000+Inputs!$B$51+Inputs!$B$52+(Inputs!$B$49+Inputs!$B$50)*Inputs!$B$53</f>
        <v/>
      </c>
      <c r="F5" s="2">
        <f>IF('Cloudflare capacity'!I5&gt;Inputs!$B$29,"Within Free, but the upgrade policy calls for Workers Paid. ","")&amp;"O4 uses RDS instead of DynamoDB; RDS rows are indicative (AWS Pricing Calculator)."</f>
        <v/>
      </c>
    </row>
    <row r="6">
      <c r="A6" s="2" t="inlineStr">
        <is>
          <t>S2</t>
        </is>
      </c>
      <c r="B6" s="13">
        <f>IF('Cloudflare capacity'!I6&lt;=1,0,"exceeds Free")</f>
        <v/>
      </c>
      <c r="C6" s="13">
        <f>Inputs!$B$30+MAX(0,'Cloudflare capacity'!C6*Inputs!$B$9-Inputs!$B$31)*Inputs!$B$32/1000000+MAX(0,'Cloudflare capacity'!C6*Inputs!$B$9*Inputs!$B$22-Inputs!$B$33)*Inputs!$B$34/1000000+MAX(0,'Cloudflare capacity'!E6*Inputs!$B$9-Inputs!$B$35)*Inputs!$B$36/1000000+MAX(0,'Cloudflare capacity'!G6*Inputs!$B$9-Inputs!$B$37)*Inputs!$B$38/1000000</f>
        <v/>
      </c>
      <c r="D6" s="13">
        <f>MAX(0,(Inputs!$B$5*(Inputs!$B$12+Inputs!$B$17*Inputs!$B$16)*Inputs!$B$9)-Inputs!$B$41)*Inputs!$B$39/1000000+MAX(0,(Inputs!$B$5*(Inputs!$B$12+Inputs!$B$17*Inputs!$B$16)*Inputs!$B$9)*Inputs!$B$43*Inputs!$B$44-Inputs!$B$42)*Inputs!$B$40+(Inputs!$B$5*(Inputs!$B$12+Inputs!$B$17*Inputs!$B$16)*Inputs!$B$9)*Inputs!$B$45/1000000+'Cloudflare capacity'!G6*Inputs!$B$9*Inputs!$B$46/1000000+'Cloudflare capacity'!E6*Inputs!$B$9*Inputs!$B$48*Inputs!$B$47/1000000</f>
        <v/>
      </c>
      <c r="E6" s="13">
        <f>MAX(0,(Inputs!$B$5*(Inputs!$B$12+Inputs!$B$17*Inputs!$B$16)*Inputs!$B$9)-Inputs!$B$41)*Inputs!$B$39/1000000+MAX(0,(Inputs!$B$5*(Inputs!$B$12+Inputs!$B$17*Inputs!$B$16)*Inputs!$B$9)*Inputs!$B$43*Inputs!$B$44-Inputs!$B$42)*Inputs!$B$40+(Inputs!$B$5*(Inputs!$B$12+Inputs!$B$17*Inputs!$B$16)*Inputs!$B$9)*Inputs!$B$45/1000000+Inputs!$B$51+Inputs!$B$52+(Inputs!$B$49+Inputs!$B$50)*Inputs!$B$53</f>
        <v/>
      </c>
      <c r="F6" s="2">
        <f>IF('Cloudflare capacity'!I6&gt;Inputs!$B$29,"Within Free, but the upgrade policy calls for Workers Paid. ","")&amp;"O4 uses RDS instead of DynamoDB; RDS rows are indicative (AWS Pricing Calculator)."</f>
        <v/>
      </c>
    </row>
    <row r="7">
      <c r="A7" s="2" t="inlineStr">
        <is>
          <t>S3</t>
        </is>
      </c>
      <c r="B7" s="13">
        <f>IF('Cloudflare capacity'!I7&lt;=1,0,"exceeds Free")</f>
        <v/>
      </c>
      <c r="C7" s="13">
        <f>Inputs!$B$30+MAX(0,'Cloudflare capacity'!C7*Inputs!$B$9-Inputs!$B$31)*Inputs!$B$32/1000000+MAX(0,'Cloudflare capacity'!C7*Inputs!$B$9*Inputs!$B$22-Inputs!$B$33)*Inputs!$B$34/1000000+MAX(0,'Cloudflare capacity'!E7*Inputs!$B$9-Inputs!$B$35)*Inputs!$B$36/1000000+MAX(0,'Cloudflare capacity'!G7*Inputs!$B$9-Inputs!$B$37)*Inputs!$B$38/1000000</f>
        <v/>
      </c>
      <c r="D7" s="13">
        <f>MAX(0,(Inputs!$B$6*(Inputs!$B$12+Inputs!$B$17*Inputs!$B$16)*Inputs!$B$9)-Inputs!$B$41)*Inputs!$B$39/1000000+MAX(0,(Inputs!$B$6*(Inputs!$B$12+Inputs!$B$17*Inputs!$B$16)*Inputs!$B$9)*Inputs!$B$43*Inputs!$B$44-Inputs!$B$42)*Inputs!$B$40+(Inputs!$B$6*(Inputs!$B$12+Inputs!$B$17*Inputs!$B$16)*Inputs!$B$9)*Inputs!$B$45/1000000+'Cloudflare capacity'!G7*Inputs!$B$9*Inputs!$B$46/1000000+'Cloudflare capacity'!E7*Inputs!$B$9*Inputs!$B$48*Inputs!$B$47/1000000</f>
        <v/>
      </c>
      <c r="E7" s="13">
        <f>MAX(0,(Inputs!$B$6*(Inputs!$B$12+Inputs!$B$17*Inputs!$B$16)*Inputs!$B$9)-Inputs!$B$41)*Inputs!$B$39/1000000+MAX(0,(Inputs!$B$6*(Inputs!$B$12+Inputs!$B$17*Inputs!$B$16)*Inputs!$B$9)*Inputs!$B$43*Inputs!$B$44-Inputs!$B$42)*Inputs!$B$40+(Inputs!$B$6*(Inputs!$B$12+Inputs!$B$17*Inputs!$B$16)*Inputs!$B$9)*Inputs!$B$45/1000000+Inputs!$B$51+Inputs!$B$52+(Inputs!$B$49+Inputs!$B$50)*Inputs!$B$53</f>
        <v/>
      </c>
      <c r="F7" s="2">
        <f>IF('Cloudflare capacity'!I7&gt;Inputs!$B$29,"Within Free, but the upgrade policy calls for Workers Paid. ","")&amp;"O4 uses RDS instead of DynamoDB; RDS rows are indicative (AWS Pricing Calculator)."</f>
        <v/>
      </c>
    </row>
    <row r="8">
      <c r="A8" s="2" t="inlineStr">
        <is>
          <t>S4</t>
        </is>
      </c>
      <c r="B8" s="13">
        <f>IF('Cloudflare capacity'!I8&lt;=1,0,"exceeds Free")</f>
        <v/>
      </c>
      <c r="C8" s="13">
        <f>Inputs!$B$30+MAX(0,'Cloudflare capacity'!C8*Inputs!$B$9-Inputs!$B$31)*Inputs!$B$32/1000000+MAX(0,'Cloudflare capacity'!C8*Inputs!$B$9*Inputs!$B$22-Inputs!$B$33)*Inputs!$B$34/1000000+MAX(0,'Cloudflare capacity'!E8*Inputs!$B$9-Inputs!$B$35)*Inputs!$B$36/1000000+MAX(0,'Cloudflare capacity'!G8*Inputs!$B$9-Inputs!$B$37)*Inputs!$B$38/1000000</f>
        <v/>
      </c>
      <c r="D8" s="13">
        <f>MAX(0,(Inputs!$B$7*(Inputs!$B$12+Inputs!$B$17*Inputs!$B$16)*Inputs!$B$9)-Inputs!$B$41)*Inputs!$B$39/1000000+MAX(0,(Inputs!$B$7*(Inputs!$B$12+Inputs!$B$17*Inputs!$B$16)*Inputs!$B$9)*Inputs!$B$43*Inputs!$B$44-Inputs!$B$42)*Inputs!$B$40+(Inputs!$B$7*(Inputs!$B$12+Inputs!$B$17*Inputs!$B$16)*Inputs!$B$9)*Inputs!$B$45/1000000+'Cloudflare capacity'!G8*Inputs!$B$9*Inputs!$B$46/1000000+'Cloudflare capacity'!E8*Inputs!$B$9*Inputs!$B$48*Inputs!$B$47/1000000</f>
        <v/>
      </c>
      <c r="E8" s="13">
        <f>MAX(0,(Inputs!$B$7*(Inputs!$B$12+Inputs!$B$17*Inputs!$B$16)*Inputs!$B$9)-Inputs!$B$41)*Inputs!$B$39/1000000+MAX(0,(Inputs!$B$7*(Inputs!$B$12+Inputs!$B$17*Inputs!$B$16)*Inputs!$B$9)*Inputs!$B$43*Inputs!$B$44-Inputs!$B$42)*Inputs!$B$40+(Inputs!$B$7*(Inputs!$B$12+Inputs!$B$17*Inputs!$B$16)*Inputs!$B$9)*Inputs!$B$45/1000000+Inputs!$B$51+Inputs!$B$52+(Inputs!$B$49+Inputs!$B$50)*Inputs!$B$53</f>
        <v/>
      </c>
      <c r="F8" s="2">
        <f>IF('Cloudflare capacity'!I8&gt;Inputs!$B$29,"Within Free, but the upgrade policy calls for Workers Paid. ","")&amp;"O4 uses RDS instead of DynamoDB; RDS rows are indicative (AWS Pricing Calculator)."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Future AI envelope: not in the MVP; tokens are unmeasured</t>
        </is>
      </c>
    </row>
    <row r="4" ht="30" customHeight="1">
      <c r="A4" s="3" t="inlineStr">
        <is>
          <t>Model</t>
        </is>
      </c>
      <c r="B4" s="3" t="inlineStr">
        <is>
          <t>USD per episode</t>
        </is>
      </c>
      <c r="C4" s="3" t="inlineStr">
        <is>
          <t>Free episodes/day</t>
        </is>
      </c>
      <c r="D4" s="3" t="inlineStr">
        <is>
          <t>S1 USD/month</t>
        </is>
      </c>
      <c r="E4" s="3" t="inlineStr">
        <is>
          <t>S2 USD/month</t>
        </is>
      </c>
      <c r="F4" s="3" t="inlineStr">
        <is>
          <t>S3 USD/month</t>
        </is>
      </c>
      <c r="G4" s="3" t="inlineStr">
        <is>
          <t>S4 USD/month</t>
        </is>
      </c>
    </row>
    <row r="5">
      <c r="A5" s="2" t="inlineStr">
        <is>
          <t>Workers AI gpt-oss-20b</t>
        </is>
      </c>
      <c r="B5" s="14">
        <f>((Inputs!$B$54*Inputs!$B$58+Inputs!$B$55*Inputs!$B$59)/1000000)*Inputs!$B$57/1000</f>
        <v/>
      </c>
      <c r="C5" s="6">
        <f>Inputs!$B$56/((Inputs!$B$54*Inputs!$B$58+Inputs!$B$55*Inputs!$B$59)/1000000)</f>
        <v/>
      </c>
      <c r="D5" s="13">
        <f>((Inputs!$B$54*Inputs!$B$58+Inputs!$B$55*Inputs!$B$59)/1000000)*Inputs!$B$57/1000*Inputs!$B$4*Inputs!$B$9</f>
        <v/>
      </c>
      <c r="E5" s="13">
        <f>((Inputs!$B$54*Inputs!$B$58+Inputs!$B$55*Inputs!$B$59)/1000000)*Inputs!$B$57/1000*Inputs!$B$5*Inputs!$B$9</f>
        <v/>
      </c>
      <c r="F5" s="13">
        <f>((Inputs!$B$54*Inputs!$B$58+Inputs!$B$55*Inputs!$B$59)/1000000)*Inputs!$B$57/1000*Inputs!$B$6*Inputs!$B$9</f>
        <v/>
      </c>
      <c r="G5" s="13">
        <f>((Inputs!$B$54*Inputs!$B$58+Inputs!$B$55*Inputs!$B$59)/1000000)*Inputs!$B$57/1000*Inputs!$B$7*Inputs!$B$9</f>
        <v/>
      </c>
    </row>
    <row r="6">
      <c r="A6" s="2" t="inlineStr">
        <is>
          <t>Workers AI llama-3.3-70b</t>
        </is>
      </c>
      <c r="B6" s="14">
        <f>((Inputs!$B$54*Inputs!$B$60+Inputs!$B$55*Inputs!$B$61)/1000000)*Inputs!$B$57/1000</f>
        <v/>
      </c>
      <c r="C6" s="6">
        <f>Inputs!$B$56/((Inputs!$B$54*Inputs!$B$60+Inputs!$B$55*Inputs!$B$61)/1000000)</f>
        <v/>
      </c>
      <c r="D6" s="13">
        <f>((Inputs!$B$54*Inputs!$B$60+Inputs!$B$55*Inputs!$B$61)/1000000)*Inputs!$B$57/1000*Inputs!$B$4*Inputs!$B$9</f>
        <v/>
      </c>
      <c r="E6" s="13">
        <f>((Inputs!$B$54*Inputs!$B$60+Inputs!$B$55*Inputs!$B$61)/1000000)*Inputs!$B$57/1000*Inputs!$B$5*Inputs!$B$9</f>
        <v/>
      </c>
      <c r="F6" s="13">
        <f>((Inputs!$B$54*Inputs!$B$60+Inputs!$B$55*Inputs!$B$61)/1000000)*Inputs!$B$57/1000*Inputs!$B$6*Inputs!$B$9</f>
        <v/>
      </c>
      <c r="G6" s="13">
        <f>((Inputs!$B$54*Inputs!$B$60+Inputs!$B$55*Inputs!$B$61)/1000000)*Inputs!$B$57/1000*Inputs!$B$7*Inputs!$B$9</f>
        <v/>
      </c>
    </row>
    <row r="7">
      <c r="A7" s="2" t="inlineStr">
        <is>
          <t>Claude Haiku 4.5</t>
        </is>
      </c>
      <c r="B7" s="14">
        <f>((Inputs!$B$54*Inputs!$B$62+Inputs!$B$55*Inputs!$B$63)/1000000)</f>
        <v/>
      </c>
      <c r="C7" s="6" t="inlineStr">
        <is>
          <t>none</t>
        </is>
      </c>
      <c r="D7" s="13">
        <f>((Inputs!$B$54*Inputs!$B$62+Inputs!$B$55*Inputs!$B$63)/1000000)*Inputs!$B$4*Inputs!$B$9</f>
        <v/>
      </c>
      <c r="E7" s="13">
        <f>((Inputs!$B$54*Inputs!$B$62+Inputs!$B$55*Inputs!$B$63)/1000000)*Inputs!$B$5*Inputs!$B$9</f>
        <v/>
      </c>
      <c r="F7" s="13">
        <f>((Inputs!$B$54*Inputs!$B$62+Inputs!$B$55*Inputs!$B$63)/1000000)*Inputs!$B$6*Inputs!$B$9</f>
        <v/>
      </c>
      <c r="G7" s="13">
        <f>((Inputs!$B$54*Inputs!$B$62+Inputs!$B$55*Inputs!$B$63)/1000000)*Inputs!$B$7*Inputs!$B$9</f>
        <v/>
      </c>
    </row>
    <row r="8">
      <c r="A8" s="2" t="inlineStr">
        <is>
          <t>Claude Sonnet 5</t>
        </is>
      </c>
      <c r="B8" s="14">
        <f>((Inputs!$B$54*Inputs!$B$64+Inputs!$B$55*Inputs!$B$65)/1000000)</f>
        <v/>
      </c>
      <c r="C8" s="6" t="inlineStr">
        <is>
          <t>none</t>
        </is>
      </c>
      <c r="D8" s="13">
        <f>((Inputs!$B$54*Inputs!$B$64+Inputs!$B$55*Inputs!$B$65)/1000000)*Inputs!$B$4*Inputs!$B$9</f>
        <v/>
      </c>
      <c r="E8" s="13">
        <f>((Inputs!$B$54*Inputs!$B$64+Inputs!$B$55*Inputs!$B$65)/1000000)*Inputs!$B$5*Inputs!$B$9</f>
        <v/>
      </c>
      <c r="F8" s="13">
        <f>((Inputs!$B$54*Inputs!$B$64+Inputs!$B$55*Inputs!$B$65)/1000000)*Inputs!$B$6*Inputs!$B$9</f>
        <v/>
      </c>
      <c r="G8" s="13">
        <f>((Inputs!$B$54*Inputs!$B$64+Inputs!$B$55*Inputs!$B$65)/1000000)*Inputs!$B$7*Inputs!$B$9</f>
        <v/>
      </c>
    </row>
    <row r="10">
      <c r="A10" t="inlineStr">
        <is>
          <t>Claude via Amazon Bedrock: take the rate from the AWS Pricing Calculator; whether credits apply is unverified.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 ht="30" customHeight="1">
      <c r="A1" s="1" t="inlineStr">
        <is>
          <t>Sources (checked 2026-09-29)</t>
        </is>
      </c>
    </row>
    <row r="3" ht="30" customHeight="1">
      <c r="A3" s="3" t="inlineStr">
        <is>
          <t>Source</t>
        </is>
      </c>
      <c r="B3" s="3" t="inlineStr">
        <is>
          <t>URL</t>
        </is>
      </c>
    </row>
    <row r="4">
      <c r="A4" s="2" t="inlineStr">
        <is>
          <t>Cloudflare Workers pricing and limits</t>
        </is>
      </c>
      <c r="B4" s="2" t="inlineStr">
        <is>
          <t>https://developers.cloudflare.com/workers/platform/pricing/</t>
        </is>
      </c>
    </row>
    <row r="5">
      <c r="A5" s="2" t="inlineStr">
        <is>
          <t>Cloudflare D1 limits</t>
        </is>
      </c>
      <c r="B5" s="2" t="inlineStr">
        <is>
          <t>https://developers.cloudflare.com/d1/platform/limits/</t>
        </is>
      </c>
    </row>
    <row r="6">
      <c r="A6" s="2" t="inlineStr">
        <is>
          <t>Cloudflare Workers AI pricing</t>
        </is>
      </c>
      <c r="B6" s="2" t="inlineStr">
        <is>
          <t>https://developers.cloudflare.com/workers-ai/platform/pricing/</t>
        </is>
      </c>
    </row>
    <row r="7">
      <c r="A7" s="2" t="inlineStr">
        <is>
          <t>Cloudflare Zero Trust plans (Access free to 50 users)</t>
        </is>
      </c>
      <c r="B7" s="2" t="inlineStr">
        <is>
          <t>https://www.cloudflare.com/plans/zero-trust-services/</t>
        </is>
      </c>
    </row>
    <row r="8">
      <c r="A8" s="2" t="inlineStr">
        <is>
          <t>AWS Free plan</t>
        </is>
      </c>
      <c r="B8" s="2" t="inlineStr">
        <is>
          <t>https://docs.aws.amazon.com/awsaccountbilling/latest/aboutv2/free-tier-plans.html</t>
        </is>
      </c>
    </row>
    <row r="9">
      <c r="A9" s="2" t="inlineStr">
        <is>
          <t>AWS Lambda pricing</t>
        </is>
      </c>
      <c r="B9" s="2" t="inlineStr">
        <is>
          <t>https://aws.amazon.com/lambda/pricing/</t>
        </is>
      </c>
    </row>
    <row r="10">
      <c r="A10" s="2" t="inlineStr">
        <is>
          <t>Amazon API Gateway pricing</t>
        </is>
      </c>
      <c r="B10" s="2" t="inlineStr">
        <is>
          <t>https://aws.amazon.com/api-gateway/pricing/</t>
        </is>
      </c>
    </row>
    <row r="11">
      <c r="A11" s="2" t="inlineStr">
        <is>
          <t>Amazon DynamoDB on-demand pricing</t>
        </is>
      </c>
      <c r="B11" s="2" t="inlineStr">
        <is>
          <t>https://aws.amazon.com/dynamodb/pricing/on-demand/</t>
        </is>
      </c>
    </row>
    <row r="12">
      <c r="A12" s="2" t="inlineStr">
        <is>
          <t>Amazon VPC pricing (NAT, IPv4)</t>
        </is>
      </c>
      <c r="B12" s="2" t="inlineStr">
        <is>
          <t>https://aws.amazon.com/vpc/pricing/</t>
        </is>
      </c>
    </row>
    <row r="13">
      <c r="A13" s="2" t="inlineStr">
        <is>
          <t>Amazon CloudFront pricing (Free flat-rate plan)</t>
        </is>
      </c>
      <c r="B13" s="2" t="inlineStr">
        <is>
          <t>https://aws.amazon.com/cloudfront/pricing/</t>
        </is>
      </c>
    </row>
    <row r="14">
      <c r="A14" s="2" t="inlineStr">
        <is>
          <t>Amazon RDS for PostgreSQL pricing</t>
        </is>
      </c>
      <c r="B14" s="2" t="inlineStr">
        <is>
          <t>https://aws.amazon.com/rds/postgresql/pricing/</t>
        </is>
      </c>
    </row>
    <row r="15">
      <c r="A15" s="2" t="inlineStr">
        <is>
          <t>AWS Pricing Calculator</t>
        </is>
      </c>
      <c r="B15" s="2" t="inlineStr">
        <is>
          <t>https://calculator.aws/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2026-09-29T14:29:27Z</dcterms:created>
  <dcterms:modified xsi:type="dcterms:W3CDTF">2026-09-29T14:29:27Z</dcterms:modified>
</cp:coreProperties>
</file>