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Scenarios" sheetId="3" state="visible" r:id="rId3"/>
    <sheet name="Evidence and prices" sheetId="4" state="visible" r:id="rId4"/>
    <sheet name="Cloudflare pilot" sheetId="5" state="visible" r:id="rId5"/>
  </sheets>
  <definedNames>
    <definedName name="_xlnm._FilterDatabase" localSheetId="1" hidden="1">'Inputs'!$A$3:$E$35</definedName>
    <definedName name="_xlnm._FilterDatabase" localSheetId="2" hidden="1">'Scenarios'!$A$4:$S$8</definedName>
  </definedNames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"/>
    <numFmt numFmtId="166" formatCode="&quot;$&quot;#,##0.00;[Red](&quot;$&quot;#,##0.00)"/>
    <numFmt numFmtId="167" formatCode="&quot;$&quot;#,##0.0000;[Red](&quot;$&quot;#,##0.0000)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7"/>
    </font>
    <font>
      <b val="1"/>
      <color rgb="00FFFFFF"/>
    </font>
    <font>
      <b val="1"/>
      <color rgb="0017343B"/>
    </font>
    <font>
      <i val="1"/>
      <color rgb="0017343B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7343B"/>
      </patternFill>
    </fill>
    <fill>
      <patternFill patternType="solid">
        <fgColor rgb="00147D76"/>
      </patternFill>
    </fill>
    <fill>
      <patternFill patternType="solid">
        <fgColor rgb="00FFF0C2"/>
      </patternFill>
    </fill>
    <fill>
      <patternFill patternType="solid">
        <fgColor rgb="00EA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164" fontId="3" fillId="4" borderId="0" applyAlignment="1" pivotButton="0" quotePrefix="0" xfId="0">
      <alignment vertical="center" wrapText="1"/>
    </xf>
    <xf numFmtId="165" fontId="3" fillId="4" borderId="0" applyAlignment="1" pivotButton="0" quotePrefix="0" xfId="0">
      <alignment vertical="center" wrapText="1"/>
    </xf>
    <xf numFmtId="0" fontId="4" fillId="0" borderId="0" pivotButton="0" quotePrefix="0" xfId="0"/>
    <xf numFmtId="4" fontId="0" fillId="0" borderId="0" applyAlignment="1" pivotButton="0" quotePrefix="0" xfId="0">
      <alignment vertical="center" wrapText="1"/>
    </xf>
    <xf numFmtId="4" fontId="0" fillId="5" borderId="0" applyAlignment="1" pivotButton="0" quotePrefix="0" xfId="0">
      <alignment vertical="center" wrapText="1"/>
    </xf>
    <xf numFmtId="166" fontId="0" fillId="5" borderId="0" applyAlignment="1" pivotButton="0" quotePrefix="0" xfId="0">
      <alignment vertical="center" wrapText="1"/>
    </xf>
    <xf numFmtId="167" fontId="0" fillId="5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Illustrative monthly cost by daily episodes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'Scenarios'!N4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'Scenarios'!$A$5:$A$8</f>
            </numRef>
          </cat>
          <val>
            <numRef>
              <f>'Scenarios'!$N$5:$N$8</f>
            </numRef>
          </val>
        </ser>
        <ser>
          <idx val="1"/>
          <order val="1"/>
          <tx>
            <strRef>
              <f>'Scenarios'!O4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'Scenarios'!$A$5:$A$8</f>
            </numRef>
          </cat>
          <val>
            <numRef>
              <f>'Scenarios'!$O$5:$O$8</f>
            </numRef>
          </val>
        </ser>
        <ser>
          <idx val="2"/>
          <order val="2"/>
          <tx>
            <strRef>
              <f>'Scenarios'!P4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'Scenarios'!$A$5:$A$8</f>
            </numRef>
          </cat>
          <val>
            <numRef>
              <f>'Scenarios'!$P$5:$P$8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USD/month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ArabicaAI</author>
  </authors>
  <commentList>
    <comment ref="B30" authorId="0" shapeId="0">
      <text>
        <t>Leave blank until eligible starts and safe accepted cases are instrumented.</t>
      </text>
    </comment>
    <comment ref="B31" authorId="0" shapeId="0">
      <text>
        <t>A handoff is not an automated resolution. Leave blank until measured.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82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developers.openai.com/api/docs/models/gpt-5.6-luna" TargetMode="External" Id="rId1" /><Relationship Type="http://schemas.openxmlformats.org/officeDocument/2006/relationships/hyperlink" Target="https://aws.amazon.com/lightsail/pricing/" TargetMode="External" Id="rId2" /><Relationship Type="http://schemas.openxmlformats.org/officeDocument/2006/relationships/hyperlink" Target="https://render.com/pricing" TargetMode="External" Id="rId3" /><Relationship Type="http://schemas.openxmlformats.org/officeDocument/2006/relationships/hyperlink" Target="https://aws.amazon.com/free/" TargetMode="External" Id="rId4" /><Relationship Type="http://schemas.openxmlformats.org/officeDocument/2006/relationships/hyperlink" Target="https://calculator.aws/" TargetMode="External" Id="rId5" /><Relationship Type="http://schemas.openxmlformats.org/officeDocument/2006/relationships/hyperlink" Target="https://developers.cloudflare.com/workers/platform/pricing/" TargetMode="External" Id="rId6" /><Relationship Type="http://schemas.openxmlformats.org/officeDocument/2006/relationships/hyperlink" Target="https://developers.cloudflare.com/d1/platform/limits/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34" customHeight="1">
      <c r="A1" s="1" t="inlineStr">
        <is>
          <t>ArabicaAI | Intake cost sensitivity</t>
        </is>
      </c>
    </row>
    <row r="3" ht="32" customHeight="1">
      <c r="A3" t="inlineStr">
        <is>
          <t>Decision use</t>
        </is>
      </c>
      <c r="B3" s="2" t="inlineStr">
        <is>
          <t>Budget a small synthetic-data demo; validate V1 outcomes before claiming savings or production capacity.</t>
        </is>
      </c>
    </row>
    <row r="4" ht="22" customHeight="1">
      <c r="B4" s="2" t="n"/>
    </row>
    <row r="5" ht="32" customHeight="1">
      <c r="A5" t="inlineStr">
        <is>
          <t>Observed demand</t>
        </is>
      </c>
      <c r="B5" s="2" t="inlineStr">
        <is>
          <t>4,118 V1 complaints in 2025 (complete calendar year); not logged application starts or production traffic.</t>
        </is>
      </c>
    </row>
    <row r="6" ht="32" customHeight="1">
      <c r="A6" t="inlineStr">
        <is>
          <t>Today</t>
        </is>
      </c>
      <c r="B6" s="2" t="inlineStr">
        <is>
          <t>The Worker + D1 pilot is deployed; no model calls run today. Actual cloud spend and capacity remain unverified.</t>
        </is>
      </c>
    </row>
    <row r="7" ht="32" customHeight="1">
      <c r="A7" t="inlineStr">
        <is>
          <t>Scenarios</t>
        </is>
      </c>
      <c r="B7" s="2" t="inlineStr">
        <is>
          <t>11.3/day V1 complaint proxy, then 100, 900, and 9,000/day stress assumptions.</t>
        </is>
      </c>
    </row>
    <row r="8" ht="32" customHeight="1">
      <c r="A8" t="inlineStr">
        <is>
          <t>Interpretation</t>
        </is>
      </c>
      <c r="B8" s="2" t="inlineStr">
        <is>
          <t>900/day is an all-contact stress case, not V1 demand. Constant VM pricing does not establish capacity.</t>
        </is>
      </c>
    </row>
    <row r="9" ht="32" customHeight="1">
      <c r="A9" t="inlineStr">
        <is>
          <t>Missing outcome</t>
        </is>
      </c>
      <c r="B9" s="2" t="inlineStr">
        <is>
          <t>Safe accepted intake / all eligible starts and safe automated resolution are unmeasured.</t>
        </is>
      </c>
    </row>
    <row r="10" ht="32" customHeight="1">
      <c r="A10" t="inlineStr">
        <is>
          <t>Important limit</t>
        </is>
      </c>
      <c r="B10" s="2" t="inlineStr">
        <is>
          <t>Lightsail VM self-hosts PostgreSQL in the $24 scenario; managed DB is a separate $30 add-on.</t>
        </is>
      </c>
    </row>
    <row r="11" ht="32" customHeight="1">
      <c r="A11" t="inlineStr">
        <is>
          <t>Editing</t>
        </is>
      </c>
      <c r="B11" s="2" t="inlineStr">
        <is>
          <t>Change pale-yellow values on Inputs. Blue-green cells on Scenarios recalculate in Excel/LibreOffice.</t>
        </is>
      </c>
    </row>
    <row r="12" ht="32" customHeight="1">
      <c r="A12" t="inlineStr">
        <is>
          <t>Cloudflare pilot</t>
        </is>
      </c>
      <c r="B12" s="2" t="inlineStr">
        <is>
          <t>Worker + D1 is deployed. Free hosting is conditional on usage limits; CPU and D1 usage remain unmeasured. See its separate sheet.</t>
        </is>
      </c>
    </row>
    <row r="13" ht="32" customHeight="1">
      <c r="A13" t="inlineStr">
        <is>
          <t>Not in estimate</t>
        </is>
      </c>
      <c r="B13" s="2" t="inlineStr">
        <is>
          <t>Taxes, exchange rates, domain, paid logs, egress overages, S3 transfer, model tools/audio, labor, support, HA, security operations.</t>
        </is>
      </c>
    </row>
    <row r="14" ht="22" customHeight="1">
      <c r="B14" s="2" t="n"/>
    </row>
    <row r="15" ht="22" customHeight="1">
      <c r="A15" t="inlineStr">
        <is>
          <t>Reviewed</t>
        </is>
      </c>
      <c r="B15" s="2" t="inlineStr">
        <is>
          <t>2026-09-29; prices should be rechecked before spending. No credits assumed.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9" customWidth="1" min="2" max="2"/>
    <col width="25" customWidth="1" min="3" max="3"/>
    <col width="70" customWidth="1" min="4" max="4"/>
    <col width="20" customWidth="1" min="5" max="5"/>
  </cols>
  <sheetData>
    <row r="1" ht="34" customHeight="1">
      <c r="A1" s="1" t="inlineStr">
        <is>
          <t>Editable inputs | yellow = change with evidence</t>
        </is>
      </c>
    </row>
    <row r="3" ht="32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Definition or source</t>
        </is>
      </c>
      <c r="E3" s="3" t="inlineStr">
        <is>
          <t>Evidence status</t>
        </is>
      </c>
    </row>
    <row r="5" ht="29" customHeight="1">
      <c r="A5" s="4" t="inlineStr">
        <is>
          <t>V1 complaints, complete 2025</t>
        </is>
      </c>
      <c r="B5" s="5" t="n">
        <v>4118</v>
      </c>
      <c r="C5" s="4" t="inlineStr">
        <is>
          <t>complaints/year</t>
        </is>
      </c>
      <c r="D5" s="4" t="inlineStr">
        <is>
          <t>Silver aggregate: Cargo no reconocido by creation_date</t>
        </is>
      </c>
      <c r="E5" s="4" t="inlineStr">
        <is>
          <t>observed synthetic</t>
        </is>
      </c>
    </row>
    <row r="6" ht="29" customHeight="1">
      <c r="A6" s="4" t="inlineStr">
        <is>
          <t>Calendar days in 2025</t>
        </is>
      </c>
      <c r="B6" s="5" t="n">
        <v>365</v>
      </c>
      <c r="C6" s="4" t="inlineStr">
        <is>
          <t>days</t>
        </is>
      </c>
      <c r="D6" s="4" t="inlineStr">
        <is>
          <t>Calendar fact</t>
        </is>
      </c>
      <c r="E6" s="4" t="inlineStr">
        <is>
          <t>fact</t>
        </is>
      </c>
    </row>
    <row r="7" ht="29" customHeight="1">
      <c r="A7" s="4" t="inlineStr">
        <is>
          <t>Modeled days per month</t>
        </is>
      </c>
      <c r="B7" s="5" t="n">
        <v>30</v>
      </c>
      <c r="C7" s="4" t="inlineStr">
        <is>
          <t>days</t>
        </is>
      </c>
      <c r="D7" s="4" t="inlineStr">
        <is>
          <t>Comparable 30-day month</t>
        </is>
      </c>
      <c r="E7" s="4" t="inlineStr">
        <is>
          <t>assumption</t>
        </is>
      </c>
    </row>
    <row r="8" ht="29" customHeight="1">
      <c r="A8" s="4" t="inlineStr">
        <is>
          <t>Current HTTP requests per episode</t>
        </is>
      </c>
      <c r="B8" s="5" t="n">
        <v>3</v>
      </c>
      <c r="C8" s="4" t="inlineStr">
        <is>
          <t>requests</t>
        </is>
      </c>
      <c r="D8" s="4" t="inlineStr">
        <is>
          <t>POST session, GET charges, POST case; agent reads excluded</t>
        </is>
      </c>
      <c r="E8" s="4" t="inlineStr">
        <is>
          <t>code-derived</t>
        </is>
      </c>
    </row>
    <row r="9" ht="29" customHeight="1">
      <c r="A9" s="4" t="inlineStr">
        <is>
          <t>Planned HTTP requests per episode</t>
        </is>
      </c>
      <c r="B9" s="5" t="n">
        <v>10</v>
      </c>
      <c r="C9" s="4" t="inlineStr">
        <is>
          <t>requests</t>
        </is>
      </c>
      <c r="D9" s="4" t="inlineStr">
        <is>
          <t>Future AI flow; measure from application traces</t>
        </is>
      </c>
      <c r="E9" s="4" t="inlineStr">
        <is>
          <t>assumption</t>
        </is>
      </c>
    </row>
    <row r="10" ht="29" customHeight="1">
      <c r="A10" s="4" t="inlineStr">
        <is>
          <t>Peak-hour fraction</t>
        </is>
      </c>
      <c r="B10" s="6" t="n">
        <v>0.1</v>
      </c>
      <c r="C10" s="4" t="inlineStr">
        <is>
          <t>share of day's requests</t>
        </is>
      </c>
      <c r="D10" s="4" t="inlineStr">
        <is>
          <t>10% of daily traffic in busiest hour</t>
        </is>
      </c>
      <c r="E10" s="4" t="inlineStr">
        <is>
          <t>assumption</t>
        </is>
      </c>
    </row>
    <row r="11" ht="29" customHeight="1">
      <c r="A11" s="4" t="inlineStr">
        <is>
          <t>Within-hour burst multiplier</t>
        </is>
      </c>
      <c r="B11" s="5" t="n">
        <v>1</v>
      </c>
      <c r="C11" s="4" t="inlineStr">
        <is>
          <t>factor</t>
        </is>
      </c>
      <c r="D11" s="4" t="inlineStr">
        <is>
          <t>Set &gt;1 to stress minute-level clustering</t>
        </is>
      </c>
      <c r="E11" s="4" t="inlineStr">
        <is>
          <t>assumption</t>
        </is>
      </c>
    </row>
    <row r="12" ht="29" customHeight="1">
      <c r="A12" s="4" t="inlineStr">
        <is>
          <t>Mean request service time</t>
        </is>
      </c>
      <c r="B12" s="5" t="n">
        <v>2</v>
      </c>
      <c r="C12" s="4" t="inlineStr">
        <is>
          <t>seconds</t>
        </is>
      </c>
      <c r="D12" s="4" t="inlineStr">
        <is>
          <t>Not measured; not a p95 or capacity test</t>
        </is>
      </c>
      <c r="E12" s="4" t="inlineStr">
        <is>
          <t>assumption</t>
        </is>
      </c>
    </row>
    <row r="13" ht="29" customHeight="1">
      <c r="A13" s="4" t="inlineStr">
        <is>
          <t>AI input tokens per episode</t>
        </is>
      </c>
      <c r="B13" s="5" t="n">
        <v>12000</v>
      </c>
      <c r="C13" s="4" t="inlineStr">
        <is>
          <t>tokens</t>
        </is>
      </c>
      <c r="D13" s="4" t="inlineStr">
        <is>
          <t>Total across model calls; no AI is running today</t>
        </is>
      </c>
      <c r="E13" s="4" t="inlineStr">
        <is>
          <t>assumption</t>
        </is>
      </c>
    </row>
    <row r="14" ht="29" customHeight="1">
      <c r="A14" s="4" t="inlineStr">
        <is>
          <t>AI output tokens per episode</t>
        </is>
      </c>
      <c r="B14" s="5" t="n">
        <v>2000</v>
      </c>
      <c r="C14" s="4" t="inlineStr">
        <is>
          <t>tokens</t>
        </is>
      </c>
      <c r="D14" s="4" t="inlineStr">
        <is>
          <t>Total across model calls, including billed reasoning output</t>
        </is>
      </c>
      <c r="E14" s="4" t="inlineStr">
        <is>
          <t>assumption</t>
        </is>
      </c>
    </row>
    <row r="15" ht="29" customHeight="1">
      <c r="A15" s="4" t="inlineStr">
        <is>
          <t>Model input rate</t>
        </is>
      </c>
      <c r="B15" s="7" t="n">
        <v>0.2</v>
      </c>
      <c r="C15" s="4" t="inlineStr">
        <is>
          <t>USD / 1M tokens</t>
        </is>
      </c>
      <c r="D15" s="4" t="inlineStr">
        <is>
          <t>OpenAI GPT-5.6 Luna standard text input</t>
        </is>
      </c>
      <c r="E15" s="4" t="inlineStr">
        <is>
          <t>official price</t>
        </is>
      </c>
    </row>
    <row r="16" ht="29" customHeight="1">
      <c r="A16" s="4" t="inlineStr">
        <is>
          <t>Model output rate</t>
        </is>
      </c>
      <c r="B16" s="7" t="n">
        <v>1.2</v>
      </c>
      <c r="C16" s="4" t="inlineStr">
        <is>
          <t>USD / 1M tokens</t>
        </is>
      </c>
      <c r="D16" s="4" t="inlineStr">
        <is>
          <t>OpenAI GPT-5.6 Luna standard text output</t>
        </is>
      </c>
      <c r="E16" s="4" t="inlineStr">
        <is>
          <t>official price</t>
        </is>
      </c>
    </row>
    <row r="17" ht="29" customHeight="1">
      <c r="A17" s="4" t="inlineStr">
        <is>
          <t>Render paid web</t>
        </is>
      </c>
      <c r="B17" s="7" t="n">
        <v>7</v>
      </c>
      <c r="C17" s="4" t="inlineStr">
        <is>
          <t>USD/month</t>
        </is>
      </c>
      <c r="D17" s="4" t="inlineStr">
        <is>
          <t>0.5c-512mb; one worker/instance</t>
        </is>
      </c>
      <c r="E17" s="4" t="inlineStr">
        <is>
          <t>official price</t>
        </is>
      </c>
    </row>
    <row r="18" ht="29" customHeight="1">
      <c r="A18" s="4" t="inlineStr">
        <is>
          <t>Render Postgres compute</t>
        </is>
      </c>
      <c r="B18" s="7" t="n">
        <v>6</v>
      </c>
      <c r="C18" s="4" t="inlineStr">
        <is>
          <t>USD/month</t>
        </is>
      </c>
      <c r="D18" s="4" t="inlineStr">
        <is>
          <t>0.1c-256mb; not load-tested</t>
        </is>
      </c>
      <c r="E18" s="4" t="inlineStr">
        <is>
          <t>official price</t>
        </is>
      </c>
    </row>
    <row r="19" ht="29" customHeight="1">
      <c r="A19" s="4" t="inlineStr">
        <is>
          <t>Render Postgres allocated storage</t>
        </is>
      </c>
      <c r="B19" s="5" t="n">
        <v>1</v>
      </c>
      <c r="C19" s="4" t="inlineStr">
        <is>
          <t>GB</t>
        </is>
      </c>
      <c r="D19" s="4" t="inlineStr">
        <is>
          <t>Model assumption; billed storage allocation</t>
        </is>
      </c>
      <c r="E19" s="4" t="inlineStr">
        <is>
          <t>assumption</t>
        </is>
      </c>
    </row>
    <row r="20" ht="29" customHeight="1">
      <c r="A20" s="4" t="inlineStr">
        <is>
          <t>Render Postgres storage rate</t>
        </is>
      </c>
      <c r="B20" s="7" t="n">
        <v>0.3</v>
      </c>
      <c r="C20" s="4" t="inlineStr">
        <is>
          <t>USD/GB-month</t>
        </is>
      </c>
      <c r="D20" s="4" t="inlineStr">
        <is>
          <t>Published storage rate</t>
        </is>
      </c>
      <c r="E20" s="4" t="inlineStr">
        <is>
          <t>official price</t>
        </is>
      </c>
    </row>
    <row r="21" ht="29" customHeight="1">
      <c r="A21" s="4" t="inlineStr">
        <is>
          <t>Lightsail Linux VM, public IPv4</t>
        </is>
      </c>
      <c r="B21" s="7" t="n">
        <v>24</v>
      </c>
      <c r="C21" s="4" t="inlineStr">
        <is>
          <t>USD/month</t>
        </is>
      </c>
      <c r="D21" s="4" t="inlineStr">
        <is>
          <t>4 GB, 2 vCPU, 80 GB SSD; fixed single VM</t>
        </is>
      </c>
      <c r="E21" s="4" t="inlineStr">
        <is>
          <t>official price</t>
        </is>
      </c>
    </row>
    <row r="22" ht="29" customHeight="1">
      <c r="A22" s="4" t="inlineStr">
        <is>
          <t>Lightsail billable snapshot size</t>
        </is>
      </c>
      <c r="B22" s="5" t="n">
        <v>20</v>
      </c>
      <c r="C22" s="4" t="inlineStr">
        <is>
          <t>GB-month</t>
        </is>
      </c>
      <c r="D22" s="4" t="inlineStr">
        <is>
          <t>Snapshot usage assumption; not backup guarantee</t>
        </is>
      </c>
      <c r="E22" s="4" t="inlineStr">
        <is>
          <t>assumption</t>
        </is>
      </c>
    </row>
    <row r="23" ht="29" customHeight="1">
      <c r="A23" s="4" t="inlineStr">
        <is>
          <t>Lightsail snapshot rate</t>
        </is>
      </c>
      <c r="B23" s="7" t="n">
        <v>0.05</v>
      </c>
      <c r="C23" s="4" t="inlineStr">
        <is>
          <t>USD/GB-month</t>
        </is>
      </c>
      <c r="D23" s="4" t="inlineStr">
        <is>
          <t>Instance/disk snapshots</t>
        </is>
      </c>
      <c r="E23" s="4" t="inlineStr">
        <is>
          <t>official price</t>
        </is>
      </c>
    </row>
    <row r="24" ht="29" customHeight="1">
      <c r="A24" s="4" t="inlineStr">
        <is>
          <t>Lightsail object bundle</t>
        </is>
      </c>
      <c r="B24" s="7" t="n">
        <v>1</v>
      </c>
      <c r="C24" s="4" t="inlineStr">
        <is>
          <t>USD/month</t>
        </is>
      </c>
      <c r="D24" s="4" t="inlineStr">
        <is>
          <t>Optional 5 GB bundle; set 0 if unused</t>
        </is>
      </c>
      <c r="E24" s="4" t="inlineStr">
        <is>
          <t>optional price</t>
        </is>
      </c>
    </row>
    <row r="25" ht="29" customHeight="1">
      <c r="A25" s="4" t="inlineStr">
        <is>
          <t>Lightsail managed DB alternative</t>
        </is>
      </c>
      <c r="B25" s="7" t="n">
        <v>30</v>
      </c>
      <c r="C25" s="4" t="inlineStr">
        <is>
          <t>USD/month</t>
        </is>
      </c>
      <c r="D25" s="4" t="inlineStr">
        <is>
          <t>2 GB encrypted standard plan; add to VM</t>
        </is>
      </c>
      <c r="E25" s="4" t="inlineStr">
        <is>
          <t>official price</t>
        </is>
      </c>
    </row>
    <row r="26" ht="29" customHeight="1">
      <c r="A26" s="4" t="inlineStr">
        <is>
          <t>Other monthly costs</t>
        </is>
      </c>
      <c r="B26" s="7" t="n">
        <v>0</v>
      </c>
      <c r="C26" s="4" t="inlineStr">
        <is>
          <t>USD/month</t>
        </is>
      </c>
      <c r="D26" s="4" t="inlineStr">
        <is>
          <t>Placeholder only: domain, logs, egress, security, operations</t>
        </is>
      </c>
      <c r="E26" s="4" t="inlineStr">
        <is>
          <t>unknown</t>
        </is>
      </c>
    </row>
    <row r="27" ht="29" customHeight="1">
      <c r="A27" s="4" t="inlineStr">
        <is>
          <t>Confirmed AWS monthly credit</t>
        </is>
      </c>
      <c r="B27" s="7" t="n">
        <v>0</v>
      </c>
      <c r="C27" s="4" t="inlineStr">
        <is>
          <t>USD/month</t>
        </is>
      </c>
      <c r="D27" s="4" t="inlineStr">
        <is>
          <t>Only if verified for this AWS account; AWS only</t>
        </is>
      </c>
      <c r="E27" s="4" t="inlineStr">
        <is>
          <t>unconfirmed</t>
        </is>
      </c>
    </row>
    <row r="28" ht="29" customHeight="1">
      <c r="A28" s="4" t="inlineStr">
        <is>
          <t>Confirmed Render monthly credit</t>
        </is>
      </c>
      <c r="B28" s="7" t="n">
        <v>0</v>
      </c>
      <c r="C28" s="4" t="inlineStr">
        <is>
          <t>USD/month</t>
        </is>
      </c>
      <c r="D28" s="4" t="inlineStr">
        <is>
          <t>Only if verified for this Render account</t>
        </is>
      </c>
      <c r="E28" s="4" t="inlineStr">
        <is>
          <t>unconfirmed</t>
        </is>
      </c>
    </row>
    <row r="29" ht="29" customHeight="1">
      <c r="A29" s="4" t="inlineStr">
        <is>
          <t>Confirmed model API monthly credit</t>
        </is>
      </c>
      <c r="B29" s="7" t="n">
        <v>0</v>
      </c>
      <c r="C29" s="4" t="inlineStr">
        <is>
          <t>USD/month</t>
        </is>
      </c>
      <c r="D29" s="4" t="inlineStr">
        <is>
          <t>Only if verified with model provider</t>
        </is>
      </c>
      <c r="E29" s="4" t="inlineStr">
        <is>
          <t>unconfirmed</t>
        </is>
      </c>
    </row>
    <row r="30" ht="29" customHeight="1">
      <c r="A30" s="4" t="inlineStr">
        <is>
          <t>Safe accepted-intake rate</t>
        </is>
      </c>
      <c r="B30" s="6" t="n"/>
      <c r="C30" s="4" t="inlineStr">
        <is>
          <t>share of eligible starts</t>
        </is>
      </c>
      <c r="D30" s="4" t="inlineStr">
        <is>
          <t>Blank until start-to-acceptance events exist</t>
        </is>
      </c>
      <c r="E30" s="4" t="inlineStr">
        <is>
          <t>not measured</t>
        </is>
      </c>
    </row>
    <row r="31" ht="29" customHeight="1">
      <c r="A31" s="4" t="inlineStr">
        <is>
          <t>Safe automated-resolution rate</t>
        </is>
      </c>
      <c r="B31" s="6" t="n"/>
      <c r="C31" s="4" t="inlineStr">
        <is>
          <t>share of eligible starts</t>
        </is>
      </c>
      <c r="D31" s="4" t="inlineStr">
        <is>
          <t>Blank; a handoff does not count as resolution</t>
        </is>
      </c>
      <c r="E31" s="4" t="inlineStr">
        <is>
          <t>not measured</t>
        </is>
      </c>
    </row>
    <row r="32" ht="29" customHeight="1">
      <c r="A32" s="4" t="inlineStr">
        <is>
          <t>Agent minutes saved per accepted case</t>
        </is>
      </c>
      <c r="B32" s="5" t="n"/>
      <c r="C32" s="4" t="inlineStr">
        <is>
          <t>minutes</t>
        </is>
      </c>
      <c r="D32" s="4" t="inlineStr">
        <is>
          <t>Blank: no causal comparison or time study</t>
        </is>
      </c>
      <c r="E32" s="4" t="inlineStr">
        <is>
          <t>not measured</t>
        </is>
      </c>
    </row>
    <row r="33" ht="29" customHeight="1">
      <c r="A33" s="4" t="inlineStr">
        <is>
          <t>Loaded agent cost per minute</t>
        </is>
      </c>
      <c r="B33" s="7" t="n"/>
      <c r="C33" s="4" t="inlineStr">
        <is>
          <t>USD/minute</t>
        </is>
      </c>
      <c r="D33" s="4" t="inlineStr">
        <is>
          <t>Blank: no approved labor-cost assumption</t>
        </is>
      </c>
      <c r="E33" s="4" t="inlineStr">
        <is>
          <t>not measured</t>
        </is>
      </c>
    </row>
    <row r="34" ht="29" customHeight="1">
      <c r="A34" s="4" t="inlineStr">
        <is>
          <t>Illustrative model</t>
        </is>
      </c>
      <c r="B34" s="5" t="inlineStr">
        <is>
          <t>gpt-5.6-luna</t>
        </is>
      </c>
      <c r="C34" s="4" t="inlineStr">
        <is>
          <t>model</t>
        </is>
      </c>
      <c r="D34" s="4" t="inlineStr">
        <is>
          <t>Not implemented or selected for V1</t>
        </is>
      </c>
      <c r="E34" s="4" t="inlineStr">
        <is>
          <t>illustrative</t>
        </is>
      </c>
    </row>
    <row r="35" ht="29" customHeight="1">
      <c r="A35" s="4" t="inlineStr">
        <is>
          <t>Eligible starts per complaint proxy</t>
        </is>
      </c>
      <c r="B35" s="5" t="n">
        <v>1</v>
      </c>
      <c r="C35" s="4" t="inlineStr">
        <is>
          <t>starts/complaint</t>
        </is>
      </c>
      <c r="D35" s="4" t="inlineStr">
        <is>
          <t>Only for demand illustration; complaint != observed app start</t>
        </is>
      </c>
      <c r="E35" s="4" t="inlineStr">
        <is>
          <t>assumption</t>
        </is>
      </c>
    </row>
  </sheetData>
  <autoFilter ref="A3:E35"/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0" customWidth="1" min="17" max="17"/>
    <col width="27" customWidth="1" min="18" max="18"/>
    <col width="30" customWidth="1" min="19" max="19"/>
  </cols>
  <sheetData>
    <row r="1" ht="34" customHeight="1">
      <c r="A1" s="1" t="inlineStr">
        <is>
          <t>Volume, token and infrastructure sensitivity</t>
        </is>
      </c>
    </row>
    <row r="2">
      <c r="A2" s="8" t="inlineStr">
        <is>
          <t>All totals USD/month, before taxes. Planned AI assumes GPT-5.6 Luna standard text; current demo uses no AI.</t>
        </is>
      </c>
    </row>
    <row r="4" ht="32" customHeight="1">
      <c r="A4" s="3" t="inlineStr">
        <is>
          <t>Scenario</t>
        </is>
      </c>
      <c r="B4" s="3" t="inlineStr">
        <is>
          <t>Episodes/day</t>
        </is>
      </c>
      <c r="C4" s="3" t="inlineStr">
        <is>
          <t>Episodes/month</t>
        </is>
      </c>
      <c r="D4" s="3" t="inlineStr">
        <is>
          <t>Current HTTP req/month</t>
        </is>
      </c>
      <c r="E4" s="3" t="inlineStr">
        <is>
          <t>Planned HTTP req/month</t>
        </is>
      </c>
      <c r="F4" s="3" t="inlineStr">
        <is>
          <t>Peak planned req/hour</t>
        </is>
      </c>
      <c r="G4" s="3" t="inlineStr">
        <is>
          <t>Peak req/s</t>
        </is>
      </c>
      <c r="H4" s="3" t="inlineStr">
        <is>
          <t>Mean in-flight req</t>
        </is>
      </c>
      <c r="I4" s="3" t="inlineStr">
        <is>
          <t>AI USD/episode</t>
        </is>
      </c>
      <c r="J4" s="3" t="inlineStr">
        <is>
          <t>AI USD/month</t>
        </is>
      </c>
      <c r="K4" s="3" t="inlineStr">
        <is>
          <t>Render fixed USD/month</t>
        </is>
      </c>
      <c r="L4" s="3" t="inlineStr">
        <is>
          <t>AWS single VM fixed</t>
        </is>
      </c>
      <c r="M4" s="3" t="inlineStr">
        <is>
          <t>AWS + managed DB fixed</t>
        </is>
      </c>
      <c r="N4" s="3" t="inlineStr">
        <is>
          <t>Render + AI USD/month</t>
        </is>
      </c>
      <c r="O4" s="3" t="inlineStr">
        <is>
          <t>AWS single VM + AI</t>
        </is>
      </c>
      <c r="P4" s="3" t="inlineStr">
        <is>
          <t>AWS managed DB + AI</t>
        </is>
      </c>
      <c r="Q4" s="3" t="inlineStr">
        <is>
          <t>Cost / safe auto resolution</t>
        </is>
      </c>
      <c r="R4" s="3" t="inlineStr">
        <is>
          <t>Render + AI / attempt</t>
        </is>
      </c>
      <c r="S4" s="3" t="inlineStr">
        <is>
          <t>Render without AI / attempt</t>
        </is>
      </c>
    </row>
    <row r="5" ht="40" customHeight="1">
      <c r="A5" s="4" t="inlineStr">
        <is>
          <t>2025 V1 complaint proxy</t>
        </is>
      </c>
      <c r="B5" s="9">
        <f>Inputs!B5/Inputs!B6*Inputs!B35</f>
        <v/>
      </c>
      <c r="C5" s="10">
        <f>B5*Inputs!B7</f>
        <v/>
      </c>
      <c r="D5" s="10">
        <f>C5*Inputs!B8</f>
        <v/>
      </c>
      <c r="E5" s="10">
        <f>C5*Inputs!B9</f>
        <v/>
      </c>
      <c r="F5" s="10">
        <f>B5*Inputs!B9*Inputs!B10*Inputs!B11</f>
        <v/>
      </c>
      <c r="G5" s="10">
        <f>F5/3600</f>
        <v/>
      </c>
      <c r="H5" s="10">
        <f>G5*Inputs!B12</f>
        <v/>
      </c>
      <c r="I5" s="11">
        <f>(Inputs!B13*Inputs!B15+Inputs!B14*Inputs!B16)/1000000</f>
        <v/>
      </c>
      <c r="J5" s="11">
        <f>MAX(0,C5*I5-Inputs!B29)</f>
        <v/>
      </c>
      <c r="K5" s="11">
        <f>MAX(0,Inputs!B17+Inputs!B18+Inputs!B19*Inputs!B20+Inputs!B26-Inputs!B28)</f>
        <v/>
      </c>
      <c r="L5" s="11">
        <f>MAX(0,Inputs!B21+Inputs!B22*Inputs!B23+Inputs!B24+Inputs!B26-Inputs!B27)</f>
        <v/>
      </c>
      <c r="M5" s="11">
        <f>L5+Inputs!B25</f>
        <v/>
      </c>
      <c r="N5" s="11">
        <f>J5+K5</f>
        <v/>
      </c>
      <c r="O5" s="11">
        <f>J5+L5</f>
        <v/>
      </c>
      <c r="P5" s="11">
        <f>J5+M5</f>
        <v/>
      </c>
      <c r="Q5" s="12">
        <f>IF(OR(NOT(ISNUMBER(Inputs!B31)),Inputs!B31&lt;=0),"not defined",N5/(C5*Inputs!B31))</f>
        <v/>
      </c>
      <c r="R5" s="12">
        <f>IF(C5&gt;0,N5/C5,"not defined")</f>
        <v/>
      </c>
      <c r="S5" s="12">
        <f>IF(C5&gt;0,K5/C5,"not defined")</f>
        <v/>
      </c>
    </row>
    <row r="6" ht="40" customHeight="1">
      <c r="A6" s="4" t="inlineStr">
        <is>
          <t>100/day test</t>
        </is>
      </c>
      <c r="B6" s="9" t="n">
        <v>100</v>
      </c>
      <c r="C6" s="10">
        <f>B6*Inputs!B7</f>
        <v/>
      </c>
      <c r="D6" s="10">
        <f>C6*Inputs!B8</f>
        <v/>
      </c>
      <c r="E6" s="10">
        <f>C6*Inputs!B9</f>
        <v/>
      </c>
      <c r="F6" s="10">
        <f>B6*Inputs!B9*Inputs!B10*Inputs!B11</f>
        <v/>
      </c>
      <c r="G6" s="10">
        <f>F6/3600</f>
        <v/>
      </c>
      <c r="H6" s="10">
        <f>G6*Inputs!B12</f>
        <v/>
      </c>
      <c r="I6" s="11">
        <f>(Inputs!B13*Inputs!B15+Inputs!B14*Inputs!B16)/1000000</f>
        <v/>
      </c>
      <c r="J6" s="11">
        <f>MAX(0,C6*I6-Inputs!B29)</f>
        <v/>
      </c>
      <c r="K6" s="11">
        <f>MAX(0,Inputs!B17+Inputs!B18+Inputs!B19*Inputs!B20+Inputs!B26-Inputs!B28)</f>
        <v/>
      </c>
      <c r="L6" s="11">
        <f>MAX(0,Inputs!B21+Inputs!B22*Inputs!B23+Inputs!B24+Inputs!B26-Inputs!B27)</f>
        <v/>
      </c>
      <c r="M6" s="11">
        <f>L6+Inputs!B25</f>
        <v/>
      </c>
      <c r="N6" s="11">
        <f>J6+K6</f>
        <v/>
      </c>
      <c r="O6" s="11">
        <f>J6+L6</f>
        <v/>
      </c>
      <c r="P6" s="11">
        <f>J6+M6</f>
        <v/>
      </c>
      <c r="Q6" s="12">
        <f>IF(OR(NOT(ISNUMBER(Inputs!B31)),Inputs!B31&lt;=0),"not defined",N6/(C6*Inputs!B31))</f>
        <v/>
      </c>
      <c r="R6" s="12">
        <f>IF(C6&gt;0,N6/C6,"not defined")</f>
        <v/>
      </c>
      <c r="S6" s="12">
        <f>IF(C6&gt;0,K6/C6,"not defined")</f>
        <v/>
      </c>
    </row>
    <row r="7" ht="40" customHeight="1">
      <c r="A7" s="4" t="inlineStr">
        <is>
          <t>900/day all-contact stress</t>
        </is>
      </c>
      <c r="B7" s="9" t="n">
        <v>900</v>
      </c>
      <c r="C7" s="10">
        <f>B7*Inputs!B7</f>
        <v/>
      </c>
      <c r="D7" s="10">
        <f>C7*Inputs!B8</f>
        <v/>
      </c>
      <c r="E7" s="10">
        <f>C7*Inputs!B9</f>
        <v/>
      </c>
      <c r="F7" s="10">
        <f>B7*Inputs!B9*Inputs!B10*Inputs!B11</f>
        <v/>
      </c>
      <c r="G7" s="10">
        <f>F7/3600</f>
        <v/>
      </c>
      <c r="H7" s="10">
        <f>G7*Inputs!B12</f>
        <v/>
      </c>
      <c r="I7" s="11">
        <f>(Inputs!B13*Inputs!B15+Inputs!B14*Inputs!B16)/1000000</f>
        <v/>
      </c>
      <c r="J7" s="11">
        <f>MAX(0,C7*I7-Inputs!B29)</f>
        <v/>
      </c>
      <c r="K7" s="11">
        <f>MAX(0,Inputs!B17+Inputs!B18+Inputs!B19*Inputs!B20+Inputs!B26-Inputs!B28)</f>
        <v/>
      </c>
      <c r="L7" s="11">
        <f>MAX(0,Inputs!B21+Inputs!B22*Inputs!B23+Inputs!B24+Inputs!B26-Inputs!B27)</f>
        <v/>
      </c>
      <c r="M7" s="11">
        <f>L7+Inputs!B25</f>
        <v/>
      </c>
      <c r="N7" s="11">
        <f>J7+K7</f>
        <v/>
      </c>
      <c r="O7" s="11">
        <f>J7+L7</f>
        <v/>
      </c>
      <c r="P7" s="11">
        <f>J7+M7</f>
        <v/>
      </c>
      <c r="Q7" s="12">
        <f>IF(OR(NOT(ISNUMBER(Inputs!B31)),Inputs!B31&lt;=0),"not defined",N7/(C7*Inputs!B31))</f>
        <v/>
      </c>
      <c r="R7" s="12">
        <f>IF(C7&gt;0,N7/C7,"not defined")</f>
        <v/>
      </c>
      <c r="S7" s="12">
        <f>IF(C7&gt;0,K7/C7,"not defined")</f>
        <v/>
      </c>
    </row>
    <row r="8" ht="40" customHeight="1">
      <c r="A8" s="4" t="inlineStr">
        <is>
          <t>9,000/day stress</t>
        </is>
      </c>
      <c r="B8" s="9" t="n">
        <v>9000</v>
      </c>
      <c r="C8" s="10">
        <f>B8*Inputs!B7</f>
        <v/>
      </c>
      <c r="D8" s="10">
        <f>C8*Inputs!B8</f>
        <v/>
      </c>
      <c r="E8" s="10">
        <f>C8*Inputs!B9</f>
        <v/>
      </c>
      <c r="F8" s="10">
        <f>B8*Inputs!B9*Inputs!B10*Inputs!B11</f>
        <v/>
      </c>
      <c r="G8" s="10">
        <f>F8/3600</f>
        <v/>
      </c>
      <c r="H8" s="10">
        <f>G8*Inputs!B12</f>
        <v/>
      </c>
      <c r="I8" s="11">
        <f>(Inputs!B13*Inputs!B15+Inputs!B14*Inputs!B16)/1000000</f>
        <v/>
      </c>
      <c r="J8" s="11">
        <f>MAX(0,C8*I8-Inputs!B29)</f>
        <v/>
      </c>
      <c r="K8" s="11">
        <f>MAX(0,Inputs!B17+Inputs!B18+Inputs!B19*Inputs!B20+Inputs!B26-Inputs!B28)</f>
        <v/>
      </c>
      <c r="L8" s="11">
        <f>MAX(0,Inputs!B21+Inputs!B22*Inputs!B23+Inputs!B24+Inputs!B26-Inputs!B27)</f>
        <v/>
      </c>
      <c r="M8" s="11">
        <f>L8+Inputs!B25</f>
        <v/>
      </c>
      <c r="N8" s="11">
        <f>J8+K8</f>
        <v/>
      </c>
      <c r="O8" s="11">
        <f>J8+L8</f>
        <v/>
      </c>
      <c r="P8" s="11">
        <f>J8+M8</f>
        <v/>
      </c>
      <c r="Q8" s="12">
        <f>IF(OR(NOT(ISNUMBER(Inputs!B31)),Inputs!B31&lt;=0),"not defined",N8/(C8*Inputs!B31))</f>
        <v/>
      </c>
      <c r="R8" s="12">
        <f>IF(C8&gt;0,N8/C8,"not defined")</f>
        <v/>
      </c>
      <c r="S8" s="12">
        <f>IF(C8&gt;0,K8/C8,"not defined")</f>
        <v/>
      </c>
    </row>
    <row r="10">
      <c r="A10" t="inlineStr">
        <is>
          <t>Current demo cloud spend</t>
        </is>
      </c>
      <c r="B10" t="inlineStr">
        <is>
          <t>Worker + D1 pilot deployed; actual bill not checked. Render fixed cost is hypothetical.</t>
        </is>
      </c>
    </row>
    <row r="11">
      <c r="A11" t="inlineStr">
        <is>
          <t>Capacity warning</t>
        </is>
      </c>
      <c r="B11" t="inlineStr">
        <is>
          <t>Peak req/s and in-flight values are arithmetic from assumptions, not a benchmark or a latency guarantee.</t>
        </is>
      </c>
    </row>
    <row r="12">
      <c r="A12" t="inlineStr">
        <is>
          <t>Success warning</t>
        </is>
      </c>
      <c r="B12" t="inlineStr">
        <is>
          <t>Cost per safe automated resolution is not defined until numerator and eligible-start denominator are observed.</t>
        </is>
      </c>
    </row>
  </sheetData>
  <autoFilter ref="A4:S8"/>
  <mergeCells count="5">
    <mergeCell ref="B11:S11"/>
    <mergeCell ref="B10:S10"/>
    <mergeCell ref="A1:S1"/>
    <mergeCell ref="A2:S2"/>
    <mergeCell ref="B12:S1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78" customWidth="1" min="2" max="2"/>
    <col width="74" customWidth="1" min="3" max="3"/>
    <col width="63" customWidth="1" min="4" max="4"/>
  </cols>
  <sheetData>
    <row r="1" ht="34" customHeight="1">
      <c r="A1" s="1" t="inlineStr">
        <is>
          <t>Sources, scope and pricing basis</t>
        </is>
      </c>
    </row>
    <row r="3" ht="32" customHeight="1">
      <c r="A3" s="3" t="inlineStr">
        <is>
          <t>Item</t>
        </is>
      </c>
      <c r="B3" s="3" t="inlineStr">
        <is>
          <t>Evidence</t>
        </is>
      </c>
      <c r="C3" s="3" t="inlineStr">
        <is>
          <t>Source URL or repo path</t>
        </is>
      </c>
      <c r="D3" s="3" t="inlineStr">
        <is>
          <t>Interpretation</t>
        </is>
      </c>
    </row>
    <row r="4" ht="62" customHeight="1">
      <c r="A4" s="2" t="inlineStr">
        <is>
          <t>V1 demand</t>
        </is>
      </c>
      <c r="B4" s="2" t="inlineStr">
        <is>
          <t>4,118 complaints in 2025; 12,297 all dates; 6,192 via Call Center all dates</t>
        </is>
      </c>
      <c r="C4" s="2" t="inlineStr">
        <is>
          <t>data_foundation/reports/aggregates.json</t>
        </is>
      </c>
      <c r="D4" s="2" t="inlineStr">
        <is>
          <t>Synthetic complaints, not app starts or forecast</t>
        </is>
      </c>
    </row>
    <row r="5" ht="62" customHeight="1">
      <c r="A5" s="2" t="inlineStr">
        <is>
          <t>Actual application</t>
        </is>
      </c>
      <c r="B5" s="2" t="inlineStr">
        <is>
          <t>FastAPI intake; 3 customer HTTP calls in normal path; no AI SDK or model call</t>
        </is>
      </c>
      <c r="C5" s="2" t="inlineStr">
        <is>
          <t>demo_pg/api.py; cloudflare/src/worker.js; demo-ui/src/app/app.ts</t>
        </is>
      </c>
      <c r="D5" s="2" t="inlineStr">
        <is>
          <t>No measured tokens, p95 or production throughput</t>
        </is>
      </c>
    </row>
    <row r="6" ht="62" customHeight="1">
      <c r="A6" s="2" t="inlineStr">
        <is>
          <t>Hackathon metric</t>
        </is>
      </c>
      <c r="B6" s="2" t="inlineStr">
        <is>
          <t>Cost per attempt and successful automated resolution, with denominator</t>
        </is>
      </c>
      <c r="C6" s="2" t="inlineStr">
        <is>
          <t>Docs/FACTORED_HACKATHON_2026.md</t>
        </is>
      </c>
      <c r="D6" s="2" t="inlineStr">
        <is>
          <t>Handoff is not automated resolution</t>
        </is>
      </c>
    </row>
    <row r="7" ht="62" customHeight="1">
      <c r="A7" s="2" t="inlineStr">
        <is>
          <t>OpenAI model</t>
        </is>
      </c>
      <c r="B7" s="2" t="inlineStr">
        <is>
          <t>GPT-5.6 Luna standard: $0.20 input, $1.20 output per million text tokens</t>
        </is>
      </c>
      <c r="C7" s="13" t="inlineStr">
        <is>
          <t>https://developers.openai.com/api/docs/models/gpt-5.6-luna</t>
        </is>
      </c>
      <c r="D7" s="2" t="inlineStr">
        <is>
          <t>Illustrative provider/model; no cache, tool, audio or batch discount</t>
        </is>
      </c>
    </row>
    <row r="8" ht="62" customHeight="1">
      <c r="A8" s="2" t="inlineStr">
        <is>
          <t>AWS Lightsail</t>
        </is>
      </c>
      <c r="B8" s="2" t="inlineStr">
        <is>
          <t>$24/mo IPv4 Linux VM 4GB; $0.05/GB-month snapshots; $1/mo 5GB object bundle; $30/mo 2GB encrypted managed DB</t>
        </is>
      </c>
      <c r="C8" s="13" t="inlineStr">
        <is>
          <t>https://aws.amazon.com/lightsail/pricing/</t>
        </is>
      </c>
      <c r="D8" s="2" t="inlineStr">
        <is>
          <t>VM alone means self-managed PostgreSQL; capacity untested</t>
        </is>
      </c>
    </row>
    <row r="9" ht="62" customHeight="1">
      <c r="A9" s="2" t="inlineStr">
        <is>
          <t>Render</t>
        </is>
      </c>
      <c r="B9" s="2" t="inlineStr">
        <is>
          <t>$7/mo web, $6/mo Postgres, $0.30/GB-month allocated Postgres storage</t>
        </is>
      </c>
      <c r="C9" s="13" t="inlineStr">
        <is>
          <t>https://render.com/pricing</t>
        </is>
      </c>
      <c r="D9" s="2" t="inlineStr">
        <is>
          <t>Paid proposed deployment; job, egress, taxes extra</t>
        </is>
      </c>
    </row>
    <row r="10" ht="62" customHeight="1">
      <c r="A10" s="2" t="inlineStr">
        <is>
          <t>AWS credits</t>
        </is>
      </c>
      <c r="B10" s="2" t="inlineStr">
        <is>
          <t>Up to $200 for eligible new accounts; workbook assumes zero</t>
        </is>
      </c>
      <c r="C10" s="13" t="inlineStr">
        <is>
          <t>https://aws.amazon.com/free/</t>
        </is>
      </c>
      <c r="D10" s="2" t="inlineStr">
        <is>
          <t>AWS credits cannot reduce separate OpenAI bill</t>
        </is>
      </c>
    </row>
    <row r="11" ht="62" customHeight="1">
      <c r="A11" s="2" t="inlineStr">
        <is>
          <t>Official AWS calculator</t>
        </is>
      </c>
      <c r="B11" s="2" t="inlineStr">
        <is>
          <t>Use for region and service-specific quote before purchase</t>
        </is>
      </c>
      <c r="C11" s="13" t="inlineStr">
        <is>
          <t>https://calculator.aws/</t>
        </is>
      </c>
      <c r="D11" s="2" t="inlineStr">
        <is>
          <t>This workbook is not a calculator export</t>
        </is>
      </c>
    </row>
    <row r="12" ht="62" customHeight="1">
      <c r="A12" s="2" t="inlineStr">
        <is>
          <t>Cloudflare Workers Free</t>
        </is>
      </c>
      <c r="B12" s="2" t="inlineStr">
        <is>
          <t>100,000 requests/day, 10 ms CPU/request</t>
        </is>
      </c>
      <c r="C12" s="13" t="inlineStr">
        <is>
          <t>https://developers.cloudflare.com/workers/platform/pricing/</t>
        </is>
      </c>
      <c r="D12" s="2" t="inlineStr">
        <is>
          <t>Conditional free candidate; this report has no measured CPU usage</t>
        </is>
      </c>
    </row>
    <row r="13" ht="62" customHeight="1">
      <c r="A13" s="2" t="inlineStr">
        <is>
          <t>Cloudflare D1 Free</t>
        </is>
      </c>
      <c r="B13" s="2" t="inlineStr">
        <is>
          <t>5M rows read/day, 100k rows written/day, 500 MB per database</t>
        </is>
      </c>
      <c r="C13" s="13" t="inlineStr">
        <is>
          <t>https://developers.cloudflare.com/d1/platform/limits/</t>
        </is>
      </c>
      <c r="D13" s="2" t="inlineStr">
        <is>
          <t>No measured D1 row scans or storage forecast</t>
        </is>
      </c>
    </row>
  </sheetData>
  <mergeCells count="1">
    <mergeCell ref="A1:D1"/>
  </mergeCells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7" customWidth="1" min="3" max="3"/>
    <col width="24" customWidth="1" min="4" max="4"/>
    <col width="23" customWidth="1" min="5" max="5"/>
    <col width="25" customWidth="1" min="6" max="6"/>
    <col width="31" customWidth="1" min="7" max="7"/>
  </cols>
  <sheetData>
    <row r="1" ht="34" customHeight="1">
      <c r="A1" s="1" t="inlineStr">
        <is>
          <t>Cloudflare Worker + D1 | conditional Free plan</t>
        </is>
      </c>
    </row>
    <row r="2">
      <c r="A2" t="inlineStr">
        <is>
          <t>The Worker + D1 pilot is deployed; live CPU and D1 checks are still required before scaling claims.</t>
        </is>
      </c>
    </row>
    <row r="4" ht="32" customHeight="1">
      <c r="A4" s="3" t="inlineStr">
        <is>
          <t>Scenario</t>
        </is>
      </c>
      <c r="B4" s="3" t="inlineStr">
        <is>
          <t>Episodes/day</t>
        </is>
      </c>
      <c r="C4" s="3" t="inlineStr">
        <is>
          <t>Planned Worker req/day</t>
        </is>
      </c>
      <c r="D4" s="3" t="inlineStr">
        <is>
          <t>Free req/day cap</t>
        </is>
      </c>
      <c r="E4" s="3" t="inlineStr">
        <is>
          <t>Request headroom</t>
        </is>
      </c>
      <c r="F4" s="3" t="inlineStr">
        <is>
          <t>Request-cap check</t>
        </is>
      </c>
      <c r="G4" s="3" t="inlineStr">
        <is>
          <t>Illustrative AI USD/month</t>
        </is>
      </c>
    </row>
    <row r="5" ht="28" customHeight="1">
      <c r="A5">
        <f>Scenarios!A5</f>
        <v/>
      </c>
      <c r="B5">
        <f>Scenarios!B5</f>
        <v/>
      </c>
      <c r="C5">
        <f>B5*Inputs!B9</f>
        <v/>
      </c>
      <c r="D5" t="n">
        <v>100000</v>
      </c>
      <c r="E5">
        <f>D5-C5</f>
        <v/>
      </c>
      <c r="F5">
        <f>IF(C5&lt;=D5,"under request cap","over request cap")</f>
        <v/>
      </c>
      <c r="G5" s="14">
        <f>Scenarios!J5</f>
        <v/>
      </c>
    </row>
    <row r="6" ht="28" customHeight="1">
      <c r="A6">
        <f>Scenarios!A6</f>
        <v/>
      </c>
      <c r="B6">
        <f>Scenarios!B6</f>
        <v/>
      </c>
      <c r="C6">
        <f>B6*Inputs!B9</f>
        <v/>
      </c>
      <c r="D6" t="n">
        <v>100000</v>
      </c>
      <c r="E6">
        <f>D6-C6</f>
        <v/>
      </c>
      <c r="F6">
        <f>IF(C6&lt;=D6,"under request cap","over request cap")</f>
        <v/>
      </c>
      <c r="G6" s="14">
        <f>Scenarios!J6</f>
        <v/>
      </c>
    </row>
    <row r="7" ht="28" customHeight="1">
      <c r="A7">
        <f>Scenarios!A7</f>
        <v/>
      </c>
      <c r="B7">
        <f>Scenarios!B7</f>
        <v/>
      </c>
      <c r="C7">
        <f>B7*Inputs!B9</f>
        <v/>
      </c>
      <c r="D7" t="n">
        <v>100000</v>
      </c>
      <c r="E7">
        <f>D7-C7</f>
        <v/>
      </c>
      <c r="F7">
        <f>IF(C7&lt;=D7,"under request cap","over request cap")</f>
        <v/>
      </c>
      <c r="G7" s="14">
        <f>Scenarios!J7</f>
        <v/>
      </c>
    </row>
    <row r="8" ht="28" customHeight="1">
      <c r="A8">
        <f>Scenarios!A8</f>
        <v/>
      </c>
      <c r="B8">
        <f>Scenarios!B8</f>
        <v/>
      </c>
      <c r="C8">
        <f>B8*Inputs!B9</f>
        <v/>
      </c>
      <c r="D8" t="n">
        <v>100000</v>
      </c>
      <c r="E8">
        <f>D8-C8</f>
        <v/>
      </c>
      <c r="F8">
        <f>IF(C8&lt;=D8,"under request cap","over request cap")</f>
        <v/>
      </c>
      <c r="G8" s="14">
        <f>Scenarios!J8</f>
        <v/>
      </c>
    </row>
    <row r="10">
      <c r="A10" t="inlineStr">
        <is>
          <t>Potential fixed hosting</t>
        </is>
      </c>
      <c r="B10" t="inlineStr">
        <is>
          <t>$0 only while Worker and D1 stay inside Free quotas; not a capacity promise.</t>
        </is>
      </c>
    </row>
    <row r="11">
      <c r="A11" t="inlineStr">
        <is>
          <t>Still unmeasured</t>
        </is>
      </c>
      <c r="B11" t="inlineStr">
        <is>
          <t>CPU ms/request (Free: 10 ms); D1 rows read/write, DB size, retries, static requests, peak traffic.</t>
        </is>
      </c>
    </row>
    <row r="12">
      <c r="A12" t="inlineStr">
        <is>
          <t>Model charges</t>
        </is>
      </c>
      <c r="B12" t="inlineStr">
        <is>
          <t>AI usage in column G is hypothetical and billed separately from Cloudflare. Current demo uses no model.</t>
        </is>
      </c>
    </row>
    <row r="13">
      <c r="A13" t="inlineStr">
        <is>
          <t>Readiness</t>
        </is>
      </c>
      <c r="B13" t="inlineStr">
        <is>
          <t>The 9,000/day scenario has only 10,000 requests/day headroom under the assumed 10 calls/episode.</t>
        </is>
      </c>
    </row>
  </sheetData>
  <mergeCells count="6">
    <mergeCell ref="B10:G10"/>
    <mergeCell ref="A1:G1"/>
    <mergeCell ref="A2:G2"/>
    <mergeCell ref="B12:G12"/>
    <mergeCell ref="B13:G13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2026-09-29T02:28:18Z</dcterms:created>
  <dcterms:modified xsi:type="dcterms:W3CDTF">2026-09-29T02:28:18Z</dcterms:modified>
</cp:coreProperties>
</file>